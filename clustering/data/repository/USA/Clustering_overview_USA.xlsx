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ewout_venstermans_student_kuleuven_be/Documents/PHD/Julia/clean_code_thesis/clustering/data/repository/USA/"/>
    </mc:Choice>
  </mc:AlternateContent>
  <xr:revisionPtr revIDLastSave="919" documentId="13_ncr:1_{910AEDBA-7893-4F9F-BF0E-EF18BC66DAD3}" xr6:coauthVersionLast="47" xr6:coauthVersionMax="47" xr10:uidLastSave="{A85E9C38-180C-4F0A-919F-50E8CEA31D61}"/>
  <bookViews>
    <workbookView xWindow="-108" yWindow="-108" windowWidth="23256" windowHeight="13896" tabRatio="748" activeTab="2" xr2:uid="{075AD958-389E-421B-9689-344809DFA07D}"/>
  </bookViews>
  <sheets>
    <sheet name="Hyperparameters" sheetId="4" r:id="rId1"/>
    <sheet name="KMeans_testing_results" sheetId="5" r:id="rId2"/>
    <sheet name="hierarchical_testing_results" sheetId="6" r:id="rId3"/>
    <sheet name="KMeans_training_results" sheetId="2" r:id="rId4"/>
    <sheet name="hierarchical_training_resul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5" l="1"/>
  <c r="L36" i="5"/>
  <c r="L38" i="6"/>
  <c r="L36" i="6"/>
  <c r="O46" i="6" l="1"/>
  <c r="O45" i="6"/>
  <c r="O44" i="6"/>
  <c r="O43" i="6"/>
  <c r="O42" i="6"/>
  <c r="O41" i="6"/>
  <c r="O40" i="6"/>
  <c r="O39" i="6"/>
  <c r="O38" i="6"/>
  <c r="O37" i="6"/>
  <c r="O34" i="6"/>
  <c r="O36" i="6"/>
  <c r="O35" i="6"/>
  <c r="O33" i="6"/>
  <c r="O32" i="6"/>
  <c r="O31" i="6"/>
  <c r="L32" i="5"/>
  <c r="L35" i="6"/>
  <c r="L32" i="6"/>
  <c r="L31" i="6"/>
  <c r="L37" i="6"/>
  <c r="L31" i="5"/>
  <c r="L37" i="5"/>
  <c r="L35" i="5"/>
</calcChain>
</file>

<file path=xl/sharedStrings.xml><?xml version="1.0" encoding="utf-8"?>
<sst xmlns="http://schemas.openxmlformats.org/spreadsheetml/2006/main" count="520" uniqueCount="126">
  <si>
    <t>Cte PF over all houses (basecase)</t>
  </si>
  <si>
    <t>PF-clustering on  time series</t>
  </si>
  <si>
    <t xml:space="preserve">P,Q-clustering on features </t>
  </si>
  <si>
    <t>P, Q, S, PF-clustering on features</t>
  </si>
  <si>
    <t>P, Q-clustering using PCA on features</t>
  </si>
  <si>
    <t>P,Q,S,PF-clustering using PCA on features</t>
  </si>
  <si>
    <t>KMeans clustering on filtered data</t>
  </si>
  <si>
    <t>Hierarchical clustering on filtered data</t>
  </si>
  <si>
    <t>full year clustering (15min)</t>
  </si>
  <si>
    <t>full year clustering (1h)</t>
  </si>
  <si>
    <t>full year clustering (24hrs)</t>
  </si>
  <si>
    <t>single month clustering (15min)</t>
  </si>
  <si>
    <t>clustering per season (15min)</t>
  </si>
  <si>
    <t>Clustering per season (1h)</t>
  </si>
  <si>
    <t>average month clustering (24hrs)</t>
  </si>
  <si>
    <t>single month clustering (24 hrs)</t>
  </si>
  <si>
    <t>single month clustering (1h)</t>
  </si>
  <si>
    <t>clustering per season (24hrs)</t>
  </si>
  <si>
    <t>Kmeans clustering on filtered data</t>
  </si>
  <si>
    <t>Cte PF over each house separately</t>
  </si>
  <si>
    <t>Cte PF over all houses</t>
  </si>
  <si>
    <t>PF-clustering on  
time series</t>
  </si>
  <si>
    <t>Cte PF over all 
houses</t>
  </si>
  <si>
    <t>N_clusters:</t>
  </si>
  <si>
    <t>Cte PF over all 
hosues</t>
  </si>
  <si>
    <t>Cte PF over each
house separately</t>
  </si>
  <si>
    <t>RMSE:</t>
  </si>
  <si>
    <t>Cte PF over each 
house separately</t>
  </si>
  <si>
    <t xml:space="preserve"> RMSE:</t>
  </si>
  <si>
    <t>4, 5, 5, 4</t>
  </si>
  <si>
    <t>4, 4, 5, 4</t>
  </si>
  <si>
    <t>Random_state</t>
  </si>
  <si>
    <t>filtered data</t>
  </si>
  <si>
    <t>#PCA-components + Correlating features</t>
  </si>
  <si>
    <t>MAE:</t>
  </si>
  <si>
    <t>Progress matrix MAE:</t>
  </si>
  <si>
    <t>Progress matrix RMSE:</t>
  </si>
  <si>
    <t>8, 0, 2, 1</t>
  </si>
  <si>
    <t>1, 0, 2, 1</t>
  </si>
  <si>
    <t>4, 4, 7, 0</t>
  </si>
  <si>
    <t>1, 2, 7, 7</t>
  </si>
  <si>
    <t>6, 0, 5, 1</t>
  </si>
  <si>
    <t>0, 12, 4, 4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</si>
  <si>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Winter_P_kurt, Fall_Q_mean, Winter_Q_mean, Summer_Q_std, Spring_Q_std, Fall_Q_std, Winter_Q_std, Summer_Q_max, Spring_Q_max, Fall_Q_max, Winter_Q_max, Fall_Q_min, Winter_Q_min, Summer_Q_median, Spring_Q_median, Fall_Q_median, Winter_Q_median, Summer_Q_iqr, Spring_Q_iqr, Fall_Q_iqr, Winter_Q_iqr, Summer_Q_kurt, Fall_Q_kurt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</si>
  <si>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Fall_Q_mean, Winter_Q_mean, Summer_Q_std, Spring_Q_std, Fall_Q_std, Winter_Q_std, Summer_Q_max, Spring_Q_max, Fall_Q_max, Winter_Q_max, Fall_Q_min, Winter_Q_min, Summer_Q_median, Spring_Q_median, Fall_Q_median, Winter_Q_median, Summer_Q_iqr, Spring_Q_iqr, Fall_Q_iqr, Winter_Q_iqr, Summer_Q_kurt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</si>
  <si>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Fall_P_kurt, Fall_Q_mean, Winter_Q_mean, Summer_Q_std, Spring_Q_std, Winter_Q_std, Summer_Q_max, Spring_Q_max, Fall_Q_max, Winter_Q_max, Summer_Q_min, Spring_Q_min, Fall_Q_min, Winter_Q_min, Summer_Q_median, Spring_Q_median, Fall_Q_median, Winter_Q_median, Summer_Q_iqr, Spring_Q_iqr, Fall_Q_iqr, Winter_Q_iqr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</si>
  <si>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Winter_P_kurt, Fall_Q_mean, Winter_Q_mean, Summer_Q_std, Spring_Q_std, Fall_Q_std, Winter_Q_std, Summer_Q_max, Spring_Q_max, Fall_Q_max, Winter_Q_max, Summer_Q_median, Spring_Q_median, Fall_Q_median, Winter_Q_median, Summer_Q_iqr, Spring_Q_iqr, Fall_Q_iqr, Winter_Q_iqr, Summer_Q_kurt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</si>
  <si>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Winter_P_kurt, Fall_Q_mean, Winter_Q_mean, Summer_Q_std, Spring_Q_std, Fall_Q_std, Winter_Q_std, Summer_Q_max, Spring_Q_max, Fall_Q_max, Winter_Q_max, Fall_Q_min, Winter_Q_min, Summer_Q_median, Spring_Q_median, Fall_Q_median, Winter_Q_median, Summer_Q_iqr, Spring_Q_iqr, Fall_Q_iqr, Winter_Q_iqr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</si>
  <si>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Fall_Q_mean, Winter_Q_mean, Summer_Q_std, Fall_Q_std, Summer_Q_max, Spring_Q_max, Fall_Q_max, Winter_Q_max, Summer_Q_min, Spring_Q_min, Fall_Q_min, Winter_Q_min, Summer_Q_median, Spring_Q_median, Fall_Q_median, Winter_Q_median, Summer_Q_iqr, Spring_Q_iqr, Fall_Q_iqr, Winter_Q_iqr</t>
  </si>
  <si>
    <t>Summer_P_std, Summer_P_max, Summer_P_min, Summer_P_median, Summer_P_iqr, Summer_P_kurt, Summer_Q_std, Summer_Q_max, Summer_Q_median, Summer_Q_iqr, Summer_Q_kurt / Fall_P_std, Fall_P_max, Fall_P_min, Fall_P_median, Fall_P_iqr, Fall_P_kurt, Fall_Q_std, Fall_Q_max, Fall_Q_median, Fall_Q_iqr, Fall_Q_kurt / Winter_P_std, Winter_P_max, Winter_P_min, Winter_P_median, Winter_P_iqr, Winter_P_kurt, Winter_Q_std, Winter_Q_max, Winter_Q_median, Winter_Q_iqr / Spring_P_std, Spring_P_max, Spring_P_min, Spring_P_median, Spring_P_iqr, Spring_P_kurt, Spring_Q_std, Spring_Q_max, Spring_Q_median, Spring_Q_iqr</t>
  </si>
  <si>
    <t>Summer_P_std, Summer_P_max, Summer_P_min, Summer_P_median, Summer_P_iqr, Summer_P_kurt, Summer_Q_std, Summer_Q_max, Summer_Q_median, Summer_Q_iqr, Summer_Q_kurt / Fall_P_std, Fall_P_max, Fall_P_min, Fall_P_median, Fall_P_iqr, Fall_P_kurt, Fall_Q_std, Fall_Q_max, Fall_Q_median, Fall_Q_iqr / Winter_P_std, Winter_P_max, Winter_P_min, Winter_P_median, Winter_P_iqr, Winter_Q_std, Winter_Q_max, Winter_Q_median, Winter_Q_iqr / Spring_P_std, Spring_P_max, Spring_P_min, Spring_P_median, Spring_P_iqr, Spring_P_kurt, Spring_Q_std, Spring_Q_max, Spring_Q_median, Spring_Q_iqr</t>
  </si>
  <si>
    <t>Summer_P_std, Summer_P_max, Summer_P_min, Summer_P_median, Summer_P_iqr, Summer_Q_std, Summer_Q_max, Summer_Q_median, Summer_Q_iqr / Fall_P_std, Fall_P_max, Fall_P_min, Fall_P_median, Fall_P_iqr, Fall_P_kurt, Fall_Q_max, Fall_Q_min, Fall_Q_median, Fall_Q_iqr / Winter_P_std, Winter_P_max, Winter_P_min, Winter_P_median, Winter_P_iqr, Winter_Q_std, Winter_Q_max, Winter_Q_min, Winter_Q_median, Winter_Q_iqr / Spring_P_std, Spring_P_max, Spring_P_min, Spring_P_median, Spring_P_iqr, Spring_Q_max, Spring_Q_min, Spring_Q_median, Spring_Q_iqr</t>
  </si>
  <si>
    <t>10, 10, 10, 10</t>
  </si>
  <si>
    <t>6, 4, 5, 4</t>
  </si>
  <si>
    <t>3, 3, 5, 3</t>
  </si>
  <si>
    <t>3, 4, 6, 3</t>
  </si>
  <si>
    <t>6, 3, 5, 4</t>
  </si>
  <si>
    <t>3, 3, 3, 4</t>
  </si>
  <si>
    <t>3, 3, 6, 4</t>
  </si>
  <si>
    <t>4, 3, 3, 3</t>
  </si>
  <si>
    <t>4, 4, 3, 3</t>
  </si>
  <si>
    <t>4, 4, 6, 3</t>
  </si>
  <si>
    <t>4, 4, 3, 4</t>
  </si>
  <si>
    <t>4, 5, 5, 3</t>
  </si>
  <si>
    <t>5, 5, 6, 3</t>
  </si>
  <si>
    <t>3, 4, 3, 3</t>
  </si>
  <si>
    <t>3, 4, 4, 5</t>
  </si>
  <si>
    <t>3, 4, 3, 4</t>
  </si>
  <si>
    <t>4, 4, 3, 5</t>
  </si>
  <si>
    <t>4, 4, 4, 4</t>
  </si>
  <si>
    <t>4, 1, 3, 5</t>
  </si>
  <si>
    <t>0, 7, 11, 1</t>
  </si>
  <si>
    <t>2, 2, 1, 2</t>
  </si>
  <si>
    <t>0, 3, 6, 4</t>
  </si>
  <si>
    <t>0, 2, 26, 10</t>
  </si>
  <si>
    <t>0, 4, 1, 2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</si>
  <si>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Winter_P_kurt, Fall_Q_mean, Winter_Q_mean, Summer_Q_std, Spring_Q_std, Fall_Q_std, Winter_Q_std, Summer_Q_max, Spring_Q_max, Fall_Q_max, Winter_Q_max, Fall_Q_min, Winter_Q_min, Summer_Q_median, Spring_Q_median, Fall_Q_median, Winter_Q_median, Summer_Q_iqr, Spring_Q_iqr, Fall_Q_iqr, Winter_Q_iqr, Summer_Q_kurt, Fall_Q_kurt, Winter_PF_mean, Winter_PF_std, Fall_PF_max, Winter_PF_max, Fall_PF_min, Summer_PF_median, Spring_PF_median, Fall_PF_median, Winter_PF_median,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</si>
  <si>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Fall_Q_mean, Winter_Q_mean, Summer_Q_std, Spring_Q_std, Fall_Q_std, Winter_Q_std, Summer_Q_max, Spring_Q_max, Fall_Q_max, Winter_Q_max, Fall_Q_min, Winter_Q_min, Summer_Q_median, Spring_Q_median, Fall_Q_median, Winter_Q_median, Summer_Q_iqr, Spring_Q_iqr, Fall_Q_iqr, Winter_Q_iqr, Summer_Q_kurt, Winter_PF_mean, Winter_PF_std, Spring_PF_max, Winter_PF_max, Fall_PF_min, Winter_PF_min, Summer_PF_median, Spring_PF_median, Fall_PF_median, Winter_PF_median,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</si>
  <si>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Fall_P_kurt, Fall_Q_mean, Winter_Q_mean, Summer_Q_std, Spring_Q_std, Winter_Q_std, Summer_Q_max, Spring_Q_max, Fall_Q_max, Winter_Q_max, Summer_Q_min, Spring_Q_min, Fall_Q_min, Winter_Q_min, Summer_Q_median, Spring_Q_median, Fall_Q_median, Winter_Q_median, Summer_Q_iqr, Spring_Q_iqr, Fall_Q_iqr, Winter_Q_iqr, Winter_PF_mean, Spring_PF_max, Winter_PF_max, Summer_PF_min, Fall_PF_min, Winter_PF_min, Summer_PF_median, Spring_PF_median, Fall_PF_median, Winter_PF_median,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</si>
  <si>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Winter_P_kurt, Fall_Q_mean, Winter_Q_mean, Summer_Q_std, Spring_Q_std, Fall_Q_std, Winter_Q_std, Summer_Q_max, Spring_Q_max, Fall_Q_max, Winter_Q_max, Summer_Q_median, Spring_Q_median, Fall_Q_median, Winter_Q_median, Summer_Q_iqr, Spring_Q_iqr, Fall_Q_iqr, Winter_Q_iqr, Summer_Q_kurt, Winter_PF_mean, Fall_PF_std, Winter_PF_std, Winter_PF_max, Fall_PF_min, Summer_PF_median, Spring_PF_median, Fall_PF_median, Winter_PF_median,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</si>
  <si>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Summer_P_kurt, Spring_P_kurt, Fall_P_kurt, Winter_P_kurt, Fall_Q_mean, Winter_Q_mean, Summer_Q_std, Spring_Q_std, Fall_Q_std, Winter_Q_std, Summer_Q_max, Spring_Q_max, Fall_Q_max, Winter_Q_max, Fall_Q_min, Winter_Q_min, Summer_Q_median, Spring_Q_median, Fall_Q_median, Winter_Q_median, Summer_Q_iqr, Spring_Q_iqr, Fall_Q_iqr, Winter_Q_iqr, Winter_PF_mean, Spring_PF_max, Summer_PF_min, Winter_PF_min, Summer_PF_median, Spring_PF_median, Fall_PF_median, Winter_PF_median,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</si>
  <si>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Summer_P_std, Spring_P_std, Fall_P_std, Winter_P_std, Summer_P_max, Spring_P_max, Fall_P_max, Winter_P_max, Summer_P_min, Spring_P_min, Fall_P_min, Winter_P_min, Summer_P_median, Spring_P_median, Fall_P_median, Winter_P_median, Summer_P_iqr, Spring_P_iqr, Fall_P_iqr, Winter_P_iqr, Fall_Q_mean, Winter_Q_mean, Summer_Q_std, Fall_Q_std, Summer_Q_max, Spring_Q_max, Fall_Q_max, Winter_Q_max, Summer_Q_min, Spring_Q_min, Fall_Q_min, Winter_Q_min, Summer_Q_median, Spring_Q_median, Fall_Q_median, Winter_Q_median, Summer_Q_iqr, Spring_Q_iqr, Fall_Q_iqr, Winter_Q_iqr, Winter_PF_mean, Summer_PF_max, Spring_PF_max, Fall_PF_max, Winter_PF_max, Summer_PF_min, Spring_PF_min, Fall_PF_min, Winter_PF_min, Summer_PF_median, Spring_PF_median, Fall_PF_median, Winter_PF_median,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</si>
  <si>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Summer_P_std, Summer_P_max, Summer_P_min, Summer_P_median, Summer_P_iqr, Summer_P_kurt, Summer_Q_std, Summer_Q_max, Summer_Q_median, Summer_Q_iqr, Summer_Q_kurt, Summer_PF_median, Summer_PF_iqr, Summer_S_mean, Summer_S_std, Summer_S_max, Summer_S_min, Summer_S_median, Summer_S_iqr, Summer_S_skew, Summer_S_kurt / Fall_P_std, Fall_P_max, Fall_P_min, Fall_P_median, Fall_P_iqr, Fall_P_kurt, Fall_Q_std, Fall_Q_max, Fall_Q_median, Fall_Q_iqr, Fall_Q_kurt, Fall_PF_median, Fall_PF_iqr, Fall_S_mean, Fall_S_std, Fall_S_max, Fall_S_min, Fall_S_median, Fall_S_iqr, Fall_S_skew, Fall_S_kurt / Winter_P_std, Winter_P_max, Winter_P_min, Winter_P_median, Winter_P_iqr, Winter_P_kurt, Winter_Q_std, Winter_Q_max, Winter_Q_median, Winter_Q_iqr, Winter_PF_median, Winter_PF_iqr, Winter_S_mean, Winter_S_std, Winter_S_max, Winter_S_min, Winter_S_median, Winter_S_iqr, Winter_S_skew, Winter_S_kurt / Spring_P_std, Spring_P_max, Spring_P_min, Spring_P_median, Spring_P_iqr, Spring_P_kurt, Spring_Q_std, Spring_Q_max, Spring_Q_median, Spring_Q_iqr, Spring_PF_median, Spring_PF_iqr, Spring_S_mean, Spring_S_std, Spring_S_max, Spring_S_min, Spring_S_median, Spring_S_iqr, Spring_S_skew, Spring_S_kurt</t>
  </si>
  <si>
    <t>Summer_P_std, Summer_P_max, Summer_P_min, Summer_P_median, Summer_P_iqr, Summer_P_kurt, Summer_Q_std, Summer_Q_max, Summer_Q_median, Summer_Q_iqr, Summer_Q_kurt, Summer_PF_median, Summer_PF_iqr, Summer_S_mean, Summer_S_std, Summer_S_max, Summer_S_min, Summer_S_median, Summer_S_iqr, Summer_S_skew, Summer_S_kurt / Fall_P_std, Fall_P_max, Fall_P_min, Fall_P_median, Fall_P_iqr, Fall_P_kurt, Fall_Q_std, Fall_Q_max, Fall_Q_median, Fall_Q_iqr, Fall_PF_min, Fall_PF_median, Fall_PF_iqr, Fall_S_mean, Fall_S_std, Fall_S_max, Fall_S_min, Fall_S_median, Fall_S_iqr, Fall_S_skew, Fall_S_kurt / Winter_P_std, Winter_P_max, Winter_P_min, Winter_P_median, Winter_P_iqr, Winter_Q_std, Winter_Q_max, Winter_Q_median, Winter_Q_iqr, Winter_PF_min, Winter_PF_median, Winter_PF_iqr, Winter_S_mean, Winter_S_std, Winter_S_max, Winter_S_min, Winter_S_median, Winter_S_iqr, Winter_S_skew, Winter_S_kurt / Spring_P_std, Spring_P_max, Spring_P_min, Spring_P_median, Spring_P_iqr, Spring_P_kurt, Spring_Q_std, Spring_Q_max, Spring_Q_median, Spring_Q_iqr, Spring_PF_max, Spring_PF_median, Spring_PF_iqr, Spring_S_mean, Spring_S_std, Spring_S_max, Spring_S_min, Spring_S_median, Spring_S_iqr, Spring_S_skew, Spring_S_kurt</t>
  </si>
  <si>
    <t>Summer_P_std, Summer_P_max, Summer_P_min, Summer_P_median, Summer_P_iqr, Summer_Q_std, Summer_Q_max, Summer_Q_median, Summer_Q_iqr, Summer_PF_min, Summer_PF_median, Summer_PF_iqr, Summer_S_mean, Summer_S_std, Summer_S_max, Summer_S_min, Summer_S_median, Summer_S_iqr, Summer_S_skew, Summer_S_kurt / Fall_P_std, Fall_P_max, Fall_P_min, Fall_P_median, Fall_P_iqr, Fall_P_kurt, Fall_Q_max, Fall_Q_min, Fall_Q_median, Fall_Q_iqr, Fall_PF_min, Fall_PF_median, Fall_PF_iqr, Fall_S_mean, Fall_S_std, Fall_S_max, Fall_S_min, Fall_S_median, Fall_S_iqr, Fall_S_skew, Fall_S_kurt / Winter_P_std, Winter_P_max, Winter_P_min, Winter_P_median, Winter_P_iqr, Winter_Q_std, Winter_Q_max, Winter_Q_min, Winter_Q_median, Winter_Q_iqr, Winter_PF_max, Winter_PF_min, Winter_PF_median, Winter_PF_iqr, Winter_S_mean, Winter_S_std, Winter_S_max, Winter_S_min, Winter_S_median, Winter_S_iqr, Winter_S_skew, Winter_S_kurt / Spring_P_std, Spring_P_max, Spring_P_min, Spring_P_median, Spring_P_iqr, Spring_Q_max, Spring_Q_min, Spring_Q_median, Spring_Q_iqr, Spring_PF_max, Spring_PF_median, Spring_PF_iqr, Spring_S_mean, Spring_S_std, Spring_S_max, Spring_S_min, Spring_S_median, Spring_S_iqr, Spring_S_skew, Spring_S_kurt</t>
  </si>
  <si>
    <t>3, 5, 4, 4</t>
  </si>
  <si>
    <t>3, 3, 4, 4</t>
  </si>
  <si>
    <t>5, 6, 5, 5</t>
  </si>
  <si>
    <t>4, 5, 3, 4</t>
  </si>
  <si>
    <t>3, 3, 5, 4</t>
  </si>
  <si>
    <t>3, 5, 3, 4</t>
  </si>
  <si>
    <t>0, 2, 4, 3</t>
  </si>
  <si>
    <t>4, 2, 3, 5</t>
  </si>
  <si>
    <t>0, 1, 4, 3</t>
  </si>
  <si>
    <t xml:space="preserve">Cte PF over all 
houses </t>
  </si>
  <si>
    <t>PF = 0.99</t>
  </si>
  <si>
    <t xml:space="preserve">Cte PF over all houses (basecase) </t>
  </si>
  <si>
    <t>Median RMSE K-Means:</t>
  </si>
  <si>
    <t>Median MAE k-Means:</t>
  </si>
  <si>
    <t>Median MAE improvement over basecase:</t>
  </si>
  <si>
    <t>Median RMSE improvement over basecase:</t>
  </si>
  <si>
    <t>Lower quartile RMSE:</t>
  </si>
  <si>
    <t>Lower quartile RMSE improvement over basecase:</t>
  </si>
  <si>
    <t>Higher quartile RMSE:</t>
  </si>
  <si>
    <t xml:space="preserve"> MAE:</t>
  </si>
  <si>
    <t>Mean improvement year</t>
  </si>
  <si>
    <t>Mean improvement month</t>
  </si>
  <si>
    <t xml:space="preserve">Mean improvement seasonal </t>
  </si>
  <si>
    <t>RMSE</t>
  </si>
  <si>
    <t>Mean improvement 15-min</t>
  </si>
  <si>
    <t>Mean improvement 1 hour</t>
  </si>
  <si>
    <t>Mean improvement 1 day</t>
  </si>
  <si>
    <t>RMSE 15-min</t>
  </si>
  <si>
    <t>RMSE 1 hour</t>
  </si>
  <si>
    <t>RMSE 1 day</t>
  </si>
  <si>
    <t>Mean improvement PF-time clustering</t>
  </si>
  <si>
    <t>Mean improvement PQ-features</t>
  </si>
  <si>
    <t>Mean improvement PQSPF-features</t>
  </si>
  <si>
    <t>Mean improvement PQ-features with PCA</t>
  </si>
  <si>
    <t>Mean improvement PQSPF-features with PCA</t>
  </si>
  <si>
    <t>Mean improvement features using Pearson</t>
  </si>
  <si>
    <t>Mean improvement features using PCA</t>
  </si>
  <si>
    <t>Median RMSE hierarchical:</t>
  </si>
  <si>
    <t>Median MAE hierarchical:</t>
  </si>
  <si>
    <t>Upper quartile RMSE improvement over basecase:</t>
  </si>
  <si>
    <t>Silhouette score RMSE: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</si>
</sst>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5" fillId="0" borderId="0" xfId="1" applyNumberFormat="1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NumberFormat="1" applyFont="1" applyAlignment="1">
      <alignment horizontal="center"/>
    </xf>
    <xf numFmtId="0" fontId="0" fillId="4" borderId="3" xfId="0" applyFill="1" applyBorder="1"/>
    <xf numFmtId="0" fontId="0" fillId="0" borderId="3" xfId="0" applyBorder="1"/>
    <xf numFmtId="0" fontId="1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wrapText="1"/>
    </xf>
    <xf numFmtId="165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Procent" xfId="1" builtinId="5"/>
    <cellStyle name="Standaard" xfId="0" builtinId="0"/>
  </cellStyles>
  <dxfs count="158"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BC55"/>
      <color rgb="FFEB2B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DA7AF-DC96-4AED-AD0A-98F2E72FCA7A}" name="Tabel17151723242562" displayName="Tabel17151723242562" ref="B4:G13" totalsRowShown="0" headerRowDxfId="119">
  <autoFilter ref="B4:G13" xr:uid="{C78DA7AF-DC96-4AED-AD0A-98F2E72FCA7A}"/>
  <tableColumns count="6">
    <tableColumn id="1" xr3:uid="{507C8F8D-22BB-4324-ACFB-AF83E0FA528A}" name="KMeans clustering on filtered data"/>
    <tableColumn id="4" xr3:uid="{965C82AC-9E8C-40CB-93EB-35A2F432052A}" name="PF-clustering on  time series" dataDxfId="118"/>
    <tableColumn id="6" xr3:uid="{E9B57224-152E-4EE0-954D-F7A20C4E8DDF}" name="P,Q-clustering on features " dataDxfId="117"/>
    <tableColumn id="8" xr3:uid="{84E2BCBA-8B2C-4B0F-ACBE-9E72EACF82DA}" name="P, Q, S, PF-clustering on features" dataDxfId="116"/>
    <tableColumn id="7" xr3:uid="{55CF78CF-D93B-4646-9923-1A328B973814}" name="P, Q-clustering using PCA on features" dataDxfId="115"/>
    <tableColumn id="9" xr3:uid="{1C15300A-0FA2-430B-9AD6-B3F1079AC0C3}" name="P,Q,S,PF-clustering using PCA on features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728870-0F6F-46B1-98C9-56D03788C5E4}" name="Tabel17151723113" displayName="Tabel17151723113" ref="B17:G26" totalsRowShown="0" headerRowDxfId="113">
  <autoFilter ref="B17:G26" xr:uid="{32728870-0F6F-46B1-98C9-56D03788C5E4}"/>
  <tableColumns count="6">
    <tableColumn id="1" xr3:uid="{1335D931-A57A-40CD-9B65-AAD92C6971C6}" name="Hierarchical clustering on filtered data"/>
    <tableColumn id="4" xr3:uid="{E63949BE-F476-43A7-B287-79261F88A05E}" name="PF-clustering on  time series" dataDxfId="112"/>
    <tableColumn id="6" xr3:uid="{DEA9AC31-9C87-4D93-AE00-56AD50C2D996}" name="P,Q-clustering on features " dataDxfId="111"/>
    <tableColumn id="8" xr3:uid="{51358480-2788-4019-9B0D-B3CDC23D122A}" name="P, Q, S, PF-clustering on features" dataDxfId="110"/>
    <tableColumn id="7" xr3:uid="{F6E5EC46-FF8E-456A-BDFD-CEFBA770C5E0}" name="P, Q-clustering using PCA on features" dataDxfId="109"/>
    <tableColumn id="9" xr3:uid="{B12998D2-5C88-4435-9066-6258FB3E48AF}" name="P,Q,S,PF-clustering using PCA on features" dataDxfId="10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F8056C-6119-40B7-AF93-F8FD4913E3CF}" name="Tabel1715172324252512134" displayName="Tabel1715172324252512134" ref="I4:N13" totalsRowShown="0" headerRowDxfId="107">
  <autoFilter ref="I4:N13" xr:uid="{56F8056C-6119-40B7-AF93-F8FD4913E3CF}"/>
  <tableColumns count="6">
    <tableColumn id="1" xr3:uid="{17906749-D6CB-4B27-8761-F553428BBB2B}" name="KMeans clustering on filtered data"/>
    <tableColumn id="4" xr3:uid="{73D197A9-7BF5-48EA-9A43-E99F520B160E}" name="PF-clustering on  _x000a_time series" dataDxfId="106"/>
    <tableColumn id="6" xr3:uid="{79928E7B-F76F-4D6A-95F0-EB3EE6724788}" name="P,Q-clustering on features " dataDxfId="105"/>
    <tableColumn id="8" xr3:uid="{57454BC9-2881-468A-9788-766AC7335264}" name="P, Q, S, PF-clustering on features" dataDxfId="104"/>
    <tableColumn id="7" xr3:uid="{DF18D0EE-C8FB-4F0C-850F-93B858EDC68B}" name="P, Q-clustering using PCA on features" dataDxfId="103"/>
    <tableColumn id="9" xr3:uid="{5D450B70-B302-48A5-8E6B-8E920F605D53}" name="P,Q,S,PF-clustering using PCA on features" dataDxfId="10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8C054-5364-4D49-8923-2727B5935F43}" name="Tabel171517232425251213295" displayName="Tabel171517232425251213295" ref="B30:G39" totalsRowShown="0" headerRowDxfId="101">
  <autoFilter ref="B30:G39" xr:uid="{7C98C054-5364-4D49-8923-2727B5935F43}"/>
  <tableColumns count="6">
    <tableColumn id="1" xr3:uid="{C05B135A-84F4-4E45-849B-33C2A0E56B70}" name="filtered data"/>
    <tableColumn id="4" xr3:uid="{7F8B4E38-DDFE-4442-A4FE-9017A9B6FBE3}" name="PF-clustering on  _x000a_time series" dataDxfId="100"/>
    <tableColumn id="6" xr3:uid="{BDA6F22E-F5F5-4AAC-89DE-E75B5F4E6AEF}" name="P,Q-clustering on features " dataDxfId="99"/>
    <tableColumn id="8" xr3:uid="{CD1BFD96-4E8F-402D-8564-C9135755E30D}" name="P, Q, S, PF-clustering on features" dataDxfId="98"/>
    <tableColumn id="7" xr3:uid="{28F07531-EF0E-4F7A-81EE-9A7B4909D196}" name="P, Q-clustering using PCA on features" dataDxfId="97"/>
    <tableColumn id="9" xr3:uid="{443C6A0D-FEB1-4B82-95F4-11694ADC2A0F}" name="P,Q,S,PF-clustering using PCA on features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239FB1-CE3B-4AB8-911E-1CDD37E84A72}" name="Tabel1314169" displayName="Tabel1314169" ref="B4:I13" totalsRowShown="0" headerRowDxfId="95">
  <autoFilter ref="B4:I13" xr:uid="{DB239FB1-CE3B-4AB8-911E-1CDD37E84A72}"/>
  <tableColumns count="8">
    <tableColumn id="1" xr3:uid="{C006541A-C8D5-44AB-AA51-5A686BBECBAC}" name="KMeans clustering on filtered data"/>
    <tableColumn id="2" xr3:uid="{F36DA630-5ADF-48F7-BC7B-B9A63CA9DF87}" name="Cte PF over all houses (basecase)" dataDxfId="94"/>
    <tableColumn id="11" xr3:uid="{1FDFCA47-DA62-4FD3-8450-5277CA21CE80}" name="Cte PF over each house separately" dataDxfId="93"/>
    <tableColumn id="4" xr3:uid="{A153F75A-E69C-4D20-BA9F-F2F6FF7E853C}" name="PF-clustering on  time series" dataDxfId="92" dataCellStyle="Procent"/>
    <tableColumn id="6" xr3:uid="{6219B428-C2EF-40CF-8EE3-081CC1E693B2}" name="P,Q-clustering on features " dataDxfId="91" dataCellStyle="Procent"/>
    <tableColumn id="8" xr3:uid="{743FBA9A-8E2E-48B0-8AD4-C253D33699F0}" name="P, Q, S, PF-clustering on features" dataDxfId="90" dataCellStyle="Procent"/>
    <tableColumn id="7" xr3:uid="{445D267A-02AB-47B0-8711-2DB3C4B5FDDE}" name="P, Q-clustering using PCA on features" dataDxfId="89" dataCellStyle="Procent"/>
    <tableColumn id="9" xr3:uid="{386F5825-4845-4860-8FA8-2FBFE27EE626}" name="P,Q,S,PF-clustering using PCA on features" dataDxfId="88" dataCellStyle="Pro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C88F72-7CF5-4A35-B3DF-4031BED38A2D}" name="Tabel17151719" displayName="Tabel17151719" ref="B30:G39" totalsRowShown="0" headerRowDxfId="87">
  <autoFilter ref="B30:G39" xr:uid="{CAC88F72-7CF5-4A35-B3DF-4031BED38A2D}"/>
  <tableColumns count="6">
    <tableColumn id="1" xr3:uid="{54C6B923-7214-4928-8516-B638698F08D8}" name="KMeans clustering on filtered data"/>
    <tableColumn id="4" xr3:uid="{FD2A9259-8554-4C8B-9DBE-4971FAC7EBC8}" name="PF-clustering on  time series" dataDxfId="86"/>
    <tableColumn id="6" xr3:uid="{837A9F79-68DE-44BF-996F-633FAAFDFF3D}" name="P,Q-clustering on features " dataDxfId="85"/>
    <tableColumn id="8" xr3:uid="{D9C4DAA5-EB78-4DC0-8F5A-779234BDE8FC}" name="P, Q, S, PF-clustering on features" dataDxfId="84"/>
    <tableColumn id="7" xr3:uid="{88653D11-A171-4487-9346-911C8DEF4340}" name="P, Q-clustering using PCA on features" dataDxfId="83"/>
    <tableColumn id="9" xr3:uid="{4821B2BA-6B40-455E-8927-003A8DA3F448}" name="P,Q,S,PF-clustering using PCA on features" dataDxfId="8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E7C18F-8DE0-4140-8F1F-9E71A200888B}" name="Tabel131416924" displayName="Tabel131416924" ref="B17:I26" totalsRowShown="0" headerRowDxfId="81">
  <autoFilter ref="B17:I26" xr:uid="{11E7C18F-8DE0-4140-8F1F-9E71A200888B}"/>
  <tableColumns count="8">
    <tableColumn id="1" xr3:uid="{AAC3C58C-88E3-46AF-A34E-AEEA87D2A7D7}" name="KMeans clustering on filtered data"/>
    <tableColumn id="2" xr3:uid="{1B89F6E1-4517-4FDA-997F-B8D3B8D01625}" name="Cte PF over all houses (basecase)" dataDxfId="80"/>
    <tableColumn id="11" xr3:uid="{287E8D30-BDEE-4D05-8D50-10569C941C90}" name="Cte PF over each house separately" dataDxfId="79"/>
    <tableColumn id="4" xr3:uid="{5A6E1A3F-D6A4-4F2B-9878-22749C8278EF}" name="PF-clustering on  time series" dataDxfId="78" dataCellStyle="Procent"/>
    <tableColumn id="6" xr3:uid="{9F0D6935-4B1E-45FF-91BD-6E098B72102A}" name="P,Q-clustering on features " dataDxfId="77" dataCellStyle="Procent"/>
    <tableColumn id="8" xr3:uid="{E400B1FA-D9A0-499E-9645-5BEADAB0FD32}" name="P, Q, S, PF-clustering on features" dataDxfId="76" dataCellStyle="Procent"/>
    <tableColumn id="7" xr3:uid="{44D65C79-51C7-4ED9-B70F-6FB61AC8B883}" name="P, Q-clustering using PCA on features" dataDxfId="75" dataCellStyle="Procent"/>
    <tableColumn id="9" xr3:uid="{AC2AE7E4-ADBE-4833-B9AE-6ACEC370B357}" name="P,Q,S,PF-clustering using PCA on features" dataDxfId="74" dataCellStyle="Pro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C5814F7-5001-4787-B04B-8C8A68DFEAA2}" name="Tabel131439" displayName="Tabel131439" ref="B4:I13" totalsRowShown="0" headerRowDxfId="157">
  <autoFilter ref="B4:I13" xr:uid="{9C5814F7-5001-4787-B04B-8C8A68DFEAA2}"/>
  <tableColumns count="8">
    <tableColumn id="1" xr3:uid="{6AE27C8E-6D37-455A-B0A9-AF459119A59F}" name="Hierarchical clustering on filtered data"/>
    <tableColumn id="2" xr3:uid="{178DFD76-0056-4805-A639-CB2ED40E35FD}" name="Cte PF over all houses (basecase)" dataDxfId="156"/>
    <tableColumn id="11" xr3:uid="{D3AAD8EF-1180-49D8-8AD5-7AB0A95D3B5A}" name="Cte PF over each house separately" dataDxfId="155"/>
    <tableColumn id="4" xr3:uid="{3C496000-F0C1-4E91-8B13-7B7BA27D32D5}" name="PF-clustering on  _x000a_time series" dataDxfId="154" dataCellStyle="Procent"/>
    <tableColumn id="6" xr3:uid="{6438815A-3C71-44A1-A43E-AE49FFD370E2}" name="P,Q-clustering on features " dataDxfId="153" dataCellStyle="Procent"/>
    <tableColumn id="8" xr3:uid="{D22F8851-9095-4CEB-A241-066C286FAC78}" name="P, Q, S, PF-clustering on features" dataDxfId="152" dataCellStyle="Procent"/>
    <tableColumn id="7" xr3:uid="{4E69C4E5-3498-4C88-90EC-C13027E96020}" name="P, Q-clustering using PCA on features" dataDxfId="151" dataCellStyle="Procent"/>
    <tableColumn id="9" xr3:uid="{CCC61182-47C8-4EBB-8FAC-35DC6E61FDEF}" name="P,Q,S,PF-clustering using PCA on features" dataDxfId="150" dataCellStyle="Pro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5554196-3522-4B9A-A5E1-4EDF951B2212}" name="Tabel171517212240" displayName="Tabel171517212240" ref="K4:R13" totalsRowShown="0" headerRowDxfId="149">
  <autoFilter ref="K4:R13" xr:uid="{95554196-3522-4B9A-A5E1-4EDF951B2212}"/>
  <tableColumns count="8">
    <tableColumn id="1" xr3:uid="{E13943C5-9029-4012-A5CF-F42D1C7EFAF8}" name="Hierarchical clustering on filtered data"/>
    <tableColumn id="11" xr3:uid="{41695005-3DFB-4D8F-ACC1-20959095E82D}" name="Cte PF over all houses" dataDxfId="148"/>
    <tableColumn id="2" xr3:uid="{7CED762D-C803-4887-866D-910EA61B4C53}" name="Cte PF over each _x000a_house separately" dataDxfId="147"/>
    <tableColumn id="4" xr3:uid="{6DF760E9-829E-46D6-B1FB-AA0DB4D33A61}" name="PF-clustering on  time series" dataDxfId="146"/>
    <tableColumn id="6" xr3:uid="{178BDACB-2040-4D38-99F7-E7BB9DF23901}" name="P,Q-clustering on features " dataDxfId="145"/>
    <tableColumn id="8" xr3:uid="{50568E21-B015-42BF-87FB-D630EE10C9E9}" name="P, Q, S, PF-clustering on features" dataDxfId="144"/>
    <tableColumn id="7" xr3:uid="{46AE7A5B-E142-48ED-ACF4-1F29255F8E37}" name="P, Q-clustering using PCA on features" dataDxfId="143"/>
    <tableColumn id="9" xr3:uid="{3FC4069D-3E96-4C65-8EAF-31A8E1A5C37C}" name="P,Q,S,PF-clustering using PCA on features" dataDxfId="1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C312E5-DA24-4820-B0DC-E5FD0ADE3325}" name="Tabel13143941" displayName="Tabel13143941" ref="B17:I26" totalsRowShown="0" headerRowDxfId="141">
  <autoFilter ref="B17:I26" xr:uid="{DEC312E5-DA24-4820-B0DC-E5FD0ADE3325}"/>
  <tableColumns count="8">
    <tableColumn id="1" xr3:uid="{B3C0075F-9075-4850-928B-0471122D3499}" name="Hierarchical clustering on filtered data"/>
    <tableColumn id="2" xr3:uid="{09ACB856-2707-4988-A3DA-53460FC198AF}" name="Cte PF over all houses (basecase)" dataDxfId="140"/>
    <tableColumn id="11" xr3:uid="{D152FAF4-DEF8-410F-8401-B73426F302F4}" name="Cte PF over each house separately" dataDxfId="139"/>
    <tableColumn id="4" xr3:uid="{7226B644-65A6-4925-B1E9-B647298D5A8C}" name="PF-clustering on  _x000a_time series" dataDxfId="138" dataCellStyle="Procent"/>
    <tableColumn id="6" xr3:uid="{6EA0F662-42A8-4BE4-8F92-40BE75A76D49}" name="P,Q-clustering on features " dataDxfId="137" dataCellStyle="Procent"/>
    <tableColumn id="8" xr3:uid="{FC573E85-47E1-4DAF-97E0-692B9E3D3597}" name="P, Q, S, PF-clustering on features" dataDxfId="136" dataCellStyle="Procent"/>
    <tableColumn id="7" xr3:uid="{08A9260A-BA1E-41F8-A2A7-327D57C9D5B4}" name="P, Q-clustering using PCA on features" dataDxfId="135" dataCellStyle="Procent"/>
    <tableColumn id="9" xr3:uid="{91E03DC2-F092-47BC-83BF-CEA1CD144ABA}" name="P,Q,S,PF-clustering using PCA on features" dataDxfId="134" dataCellStyle="Proc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DC5F648-9149-46C2-B467-BD4F4935319D}" name="Tabel17151721224042" displayName="Tabel17151721224042" ref="K17:R26" totalsRowShown="0" headerRowDxfId="133">
  <autoFilter ref="K17:R26" xr:uid="{4DC5F648-9149-46C2-B467-BD4F4935319D}"/>
  <tableColumns count="8">
    <tableColumn id="1" xr3:uid="{0FBB95AB-CA55-48A8-BBC1-61BCFB2450A8}" name="Hierarchical clustering on filtered data"/>
    <tableColumn id="11" xr3:uid="{A8D2F20A-6A94-4903-AD68-4835063AF1D4}" name="Cte PF over all houses" dataDxfId="132"/>
    <tableColumn id="2" xr3:uid="{BC2C7531-2655-4138-8AD3-21BA7BC5D122}" name="Cte PF over each _x000a_house separately" dataDxfId="131"/>
    <tableColumn id="4" xr3:uid="{98EDF180-280D-4FD4-A3D7-715E0127FEBE}" name="PF-clustering on  time series" dataDxfId="130"/>
    <tableColumn id="6" xr3:uid="{2B4E0260-2139-42BD-B9CD-9CAD8CAB8ED3}" name="P,Q-clustering on features " dataDxfId="129"/>
    <tableColumn id="8" xr3:uid="{A4FBEF66-56A4-4263-9BBA-D4382047CD7D}" name="P, Q, S, PF-clustering on features" dataDxfId="128"/>
    <tableColumn id="7" xr3:uid="{81C1E64A-6443-46C5-AAEC-7A4EE4C6C09C}" name="P, Q-clustering using PCA on features" dataDxfId="127"/>
    <tableColumn id="9" xr3:uid="{45B3CE11-A5A9-48D1-8509-4581BA0227BD}" name="P,Q,S,PF-clustering using PCA on features" dataDxfId="12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D25EC4E-0A42-4E01-B076-E91BAFC0011F}" name="Tabel171543" displayName="Tabel171543" ref="B30:G39" totalsRowShown="0" headerRowDxfId="125">
  <autoFilter ref="B30:G39" xr:uid="{ED25EC4E-0A42-4E01-B076-E91BAFC0011F}"/>
  <tableColumns count="6">
    <tableColumn id="1" xr3:uid="{66B8E2D4-9E17-46AF-A7D2-4EAE6B7C0E60}" name="Hierarchical clustering on filtered data"/>
    <tableColumn id="4" xr3:uid="{EFD9463C-DC0A-42FD-BADA-08612CC4ED2E}" name="PF-clustering on  time series" dataDxfId="124"/>
    <tableColumn id="6" xr3:uid="{71936CDA-6743-4AB3-B32C-58FBAAF5B370}" name="P,Q-clustering on features " dataDxfId="123"/>
    <tableColumn id="8" xr3:uid="{B81F8230-55B0-429F-85C9-88C5394D0539}" name="P, Q, S, PF-clustering on features" dataDxfId="122"/>
    <tableColumn id="7" xr3:uid="{F351C766-1410-4CB7-9F9A-527382DCA08B}" name="P, Q-clustering using PCA on features" dataDxfId="121"/>
    <tableColumn id="9" xr3:uid="{9F675619-665A-4081-89CD-F218A8E655FA}" name="P,Q,S,PF-clustering using PCA on features" dataDxfId="12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807C0-F55E-4393-B845-A3A8530402DC}" name="Tabel131416181920128" displayName="Tabel131416181920128" ref="B4:I13" totalsRowShown="0" headerRowDxfId="73">
  <autoFilter ref="B4:I13" xr:uid="{CC1807C0-F55E-4393-B845-A3A8530402DC}"/>
  <tableColumns count="8">
    <tableColumn id="1" xr3:uid="{A05126BC-F5AE-437F-8882-D2F7EB6D7E46}" name="Kmeans clustering on filtered data"/>
    <tableColumn id="2" xr3:uid="{3D9192BA-DAC7-44F1-935D-AF3E997C0E2E}" name="Cte PF over all houses (basecase)" dataDxfId="72"/>
    <tableColumn id="11" xr3:uid="{E2F60C50-7264-473B-9473-ED75E072DE58}" name="Cte PF over each house separately" dataDxfId="71"/>
    <tableColumn id="3" xr3:uid="{B02FB948-01AC-47FC-8EF1-C39DED254DA7}" name="PF-clustering on  time series" dataDxfId="70" dataCellStyle="Procent"/>
    <tableColumn id="4" xr3:uid="{8868B392-37A1-4899-88AD-19743865D57D}" name="P,Q-clustering on features " dataDxfId="69" dataCellStyle="Procent"/>
    <tableColumn id="6" xr3:uid="{8D8893DC-4A20-4B62-9AB3-0F6FB82560E5}" name="P, Q, S, PF-clustering on features" dataDxfId="68" dataCellStyle="Procent"/>
    <tableColumn id="8" xr3:uid="{FCF3D615-8401-4B53-8250-5853CCDF1511}" name="P, Q-clustering using PCA on features" dataDxfId="67" dataCellStyle="Procent"/>
    <tableColumn id="13" xr3:uid="{676C5013-38D0-400F-80A9-13C5A117F2D6}" name="P,Q,S,PF-clustering using PCA on features" dataDxfId="66" dataCellStyle="Pro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7709070-941A-40F0-99D5-98CC004611E3}" name="Tabel13141618192027" displayName="Tabel13141618192027" ref="B17:I26" totalsRowShown="0" headerRowDxfId="65">
  <autoFilter ref="B17:I26" xr:uid="{C7709070-941A-40F0-99D5-98CC004611E3}"/>
  <tableColumns count="8">
    <tableColumn id="1" xr3:uid="{C2E19A06-AA27-4878-B147-78ED62641951}" name="Kmeans clustering on filtered data"/>
    <tableColumn id="2" xr3:uid="{CC69F028-DC11-4F77-8224-DD846A315E54}" name="Cte PF over all houses (basecase) " dataDxfId="64"/>
    <tableColumn id="11" xr3:uid="{4CD7962E-F2B9-4F1C-BF04-1498C7E88EEE}" name="Cte PF over each house separately" dataDxfId="63"/>
    <tableColumn id="4" xr3:uid="{046B94DD-9F85-4B14-8A0A-AED808E31636}" name="PF-clustering on  time series" dataDxfId="62" dataCellStyle="Procent"/>
    <tableColumn id="6" xr3:uid="{2789BD1A-47A7-4F1D-9FB5-FE9DD8F96235}" name="P,Q-clustering on features " dataDxfId="61" dataCellStyle="Procent"/>
    <tableColumn id="8" xr3:uid="{7CB1FA98-4EA7-4344-9AAE-BB9487D2261C}" name="P, Q, S, PF-clustering on features" dataDxfId="60" dataCellStyle="Procent"/>
    <tableColumn id="7" xr3:uid="{E6C3F5E6-2EE3-4756-B8FD-2B269F2E8862}" name="P, Q-clustering using PCA on features" dataDxfId="59" dataCellStyle="Procent"/>
    <tableColumn id="9" xr3:uid="{9C351689-B16E-4540-9A6C-514AAADEAF03}" name="P,Q,S,PF-clustering using PCA on features" dataDxfId="58" dataCellStyle="Pro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4D2F9A-9E6F-4EAB-AEA2-ED2515C01F19}" name="Tabel17151723242572631" displayName="Tabel17151723242572631" ref="K4:R13" totalsRowShown="0" headerRowDxfId="57">
  <autoFilter ref="K4:R13" xr:uid="{704D2F9A-9E6F-4EAB-AEA2-ED2515C01F19}"/>
  <tableColumns count="8">
    <tableColumn id="1" xr3:uid="{FF66D8D6-943B-4610-9FBC-482D1895BF3A}" name="KMeans clustering on filtered data"/>
    <tableColumn id="11" xr3:uid="{30350189-536F-47AA-9681-840ADC14E6B6}" name="Cte PF over all _x000a_houses "/>
    <tableColumn id="2" xr3:uid="{16F173A8-ECD4-4D57-B52C-1F023DFE2A1D}" name="Cte PF over each_x000a_house separately" dataDxfId="56"/>
    <tableColumn id="4" xr3:uid="{D64A8E84-1B5C-4BBA-9E06-6395F2BF73BF}" name="PF-clustering on  time series" dataDxfId="55"/>
    <tableColumn id="6" xr3:uid="{473D9EEF-8E91-43F6-AF3C-4F812ABFC932}" name="P,Q-clustering on features " dataDxfId="54"/>
    <tableColumn id="8" xr3:uid="{754D5E6D-A2A1-4D73-8FB7-7F08D8E41F3F}" name="P, Q, S, PF-clustering on features" dataDxfId="53"/>
    <tableColumn id="7" xr3:uid="{03A0FB65-4B1E-433C-97DF-A2F57D9BA1A8}" name="P, Q-clustering using PCA on features" dataDxfId="52"/>
    <tableColumn id="9" xr3:uid="{B2F34F59-5042-486F-AAFC-FCECBB47F0CE}" name="P,Q,S,PF-clustering using PCA on features" dataDxfId="5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B4D71D9-A00E-4BD0-B21A-467EC1B1E8C6}" name="Tabel171517232425732" displayName="Tabel171517232425732" ref="K17:R26" totalsRowShown="0" headerRowDxfId="50">
  <autoFilter ref="K17:R26" xr:uid="{EB4D71D9-A00E-4BD0-B21A-467EC1B1E8C6}"/>
  <tableColumns count="8">
    <tableColumn id="1" xr3:uid="{472FA75F-DF08-4E9B-A405-14CB6B6DFE74}" name="KMeans clustering on filtered data"/>
    <tableColumn id="11" xr3:uid="{81746B12-CFF1-4568-8CE7-A9F55EB2C3D1}" name="Cte PF over all _x000a_hosues"/>
    <tableColumn id="2" xr3:uid="{630D4C5E-D088-4A14-AD4F-37394FCABF8F}" name="Cte PF over each_x000a_house separately" dataDxfId="49"/>
    <tableColumn id="4" xr3:uid="{9BCBA23E-2E1A-4026-B560-F8A52E2CA4C5}" name="PF-clustering on  time series" dataDxfId="48" dataCellStyle="Procent"/>
    <tableColumn id="6" xr3:uid="{D36DA1EE-1307-45E8-81F4-42670804BD89}" name="P,Q-clustering on features " dataDxfId="47"/>
    <tableColumn id="8" xr3:uid="{4A506656-AC40-4EAE-809C-3C7A4367AFEF}" name="P, Q, S, PF-clustering on features" dataDxfId="46"/>
    <tableColumn id="7" xr3:uid="{B86A9CF7-2644-4DE8-BDEF-842FD08E2A47}" name="P, Q-clustering using PCA on features" dataDxfId="45"/>
    <tableColumn id="9" xr3:uid="{DFA1A5A7-2627-4D97-85FB-18A86B9E7F19}" name="P,Q,S,PF-clustering using PCA on features" dataDxfId="4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2E45F95-69B2-4264-8AEC-1F20FCC5D3E3}" name="Tabel17151723242533" displayName="Tabel17151723242533" ref="B30:G39" totalsRowShown="0" headerRowDxfId="43">
  <autoFilter ref="B30:G39" xr:uid="{82E45F95-69B2-4264-8AEC-1F20FCC5D3E3}"/>
  <tableColumns count="6">
    <tableColumn id="1" xr3:uid="{F940879C-34F5-4DA3-A3F8-705A78BFC169}" name="KMeans clustering on filtered data"/>
    <tableColumn id="4" xr3:uid="{9DC708D8-CB85-446C-B2A6-4E736D3BC0E0}" name="PF-clustering on  time series" dataDxfId="42"/>
    <tableColumn id="6" xr3:uid="{9DF926CB-110F-4D59-A85D-8FA1D9FFD5DC}" name="P,Q-clustering on features " dataDxfId="41"/>
    <tableColumn id="8" xr3:uid="{E9662FBC-72E3-4DC6-BEA6-0D5DCE47C9C6}" name="P, Q, S, PF-clustering on features" dataDxfId="40"/>
    <tableColumn id="7" xr3:uid="{1316CB4F-1396-4369-88CF-C5764BE2E84F}" name="P, Q-clustering using PCA on features" dataDxfId="39"/>
    <tableColumn id="9" xr3:uid="{E3251099-B42E-41F8-9106-97E4A52EAC16}" name="P,Q,S,PF-clustering using PCA on features" dataDxfId="3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2734268-B5B7-4C8C-8271-BAEA8B63683B}" name="Tabel131416182834" displayName="Tabel131416182834" ref="B4:I13" totalsRowShown="0" headerRowDxfId="37">
  <autoFilter ref="B4:I13" xr:uid="{42734268-B5B7-4C8C-8271-BAEA8B63683B}"/>
  <tableColumns count="8">
    <tableColumn id="1" xr3:uid="{07526C6F-00FE-46C4-9885-3400456E08B4}" name="Hierarchical clustering on filtered data"/>
    <tableColumn id="2" xr3:uid="{C8B8AE83-D855-4B71-8D5C-E497CD03FAD1}" name="Cte PF over all houses (basecase)" dataDxfId="36"/>
    <tableColumn id="11" xr3:uid="{A2CD640B-1FF1-406D-ADF8-9EF8DCFBD3BA}" name="Cte PF over each house separately" dataDxfId="35"/>
    <tableColumn id="4" xr3:uid="{BD34512F-D845-4931-8AC7-F98836BEB014}" name="PF-clustering on  time series" dataDxfId="34" dataCellStyle="Procent"/>
    <tableColumn id="6" xr3:uid="{46F42490-E922-4739-97B6-C633D1AC1F26}" name="P,Q-clustering on features " dataDxfId="33" dataCellStyle="Procent"/>
    <tableColumn id="8" xr3:uid="{EBECAD23-C755-473C-B24F-3F178ABFAD09}" name="P, Q, S, PF-clustering on features" dataDxfId="32" dataCellStyle="Procent"/>
    <tableColumn id="7" xr3:uid="{C3F4F147-9846-4F77-9B71-A01DFA021E40}" name="P, Q-clustering using PCA on features" dataDxfId="31" dataCellStyle="Procent"/>
    <tableColumn id="9" xr3:uid="{B8EC88BD-CB45-477A-B2B7-6611CE2865AF}" name="P,Q,S,PF-clustering using PCA on features" dataDxfId="30" dataCellStyle="Proc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5637CD7-DE5C-4250-BBD3-A9919D9AC1C4}" name="Tabel1314161835" displayName="Tabel1314161835" ref="B17:I26" totalsRowShown="0" headerRowDxfId="29">
  <autoFilter ref="B17:I26" xr:uid="{05637CD7-DE5C-4250-BBD3-A9919D9AC1C4}"/>
  <tableColumns count="8">
    <tableColumn id="1" xr3:uid="{DAD206A2-FFA2-4FE8-AA2B-93333283340B}" name="Hierarchical clustering on filtered data"/>
    <tableColumn id="2" xr3:uid="{E87E7225-0B82-488F-95A9-34CFCCC819D6}" name="Cte PF over all houses (basecase)" dataDxfId="28"/>
    <tableColumn id="11" xr3:uid="{20A87632-92E3-4FF1-8D58-90D83EEB79F2}" name="Cte PF over each house separately" dataDxfId="27"/>
    <tableColumn id="4" xr3:uid="{BC752CC0-623E-40C6-8C7A-94CC36AA8D27}" name="PF-clustering on  time series" dataDxfId="26" dataCellStyle="Procent"/>
    <tableColumn id="6" xr3:uid="{F7CCC84B-A544-4154-BB74-8BC6D2126A4A}" name="P,Q-clustering on features " dataDxfId="25" dataCellStyle="Procent"/>
    <tableColumn id="8" xr3:uid="{3D13124E-D5DB-4DD8-90C3-B603C3A77957}" name="P, Q, S, PF-clustering on features" dataDxfId="24" dataCellStyle="Procent"/>
    <tableColumn id="7" xr3:uid="{B4BDBE96-6E37-4DD8-9F22-3B5491CFA500}" name="P, Q-clustering using PCA on features" dataDxfId="23" dataCellStyle="Procent"/>
    <tableColumn id="9" xr3:uid="{BD8E0E9D-209D-451F-A181-E49DA3837405}" name="P,Q,S,PF-clustering using PCA on features" dataDxfId="22" dataCellStyle="Proce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88D0EE7-C8FF-4FE9-9411-4893B290E723}" name="Tabel171517233036" displayName="Tabel171517233036" ref="K4:R13" totalsRowShown="0" headerRowDxfId="21">
  <autoFilter ref="K4:R13" xr:uid="{688D0EE7-C8FF-4FE9-9411-4893B290E723}"/>
  <tableColumns count="8">
    <tableColumn id="1" xr3:uid="{C922002C-6D97-4F54-9115-E36A273FC474}" name="Hierarchical clustering on filtered data"/>
    <tableColumn id="11" xr3:uid="{92DDE9AE-2594-4FCC-9C6C-206634337D37}" name="Cte PF over all _x000a_houses" dataDxfId="20"/>
    <tableColumn id="2" xr3:uid="{93F532B7-CB3E-4D06-96FA-40878D6203B6}" name="Cte PF over each_x000a_house separately" dataDxfId="19"/>
    <tableColumn id="4" xr3:uid="{7322CDDB-9863-4124-A9CB-CB5992C429CA}" name="PF-clustering on  time series" dataDxfId="18"/>
    <tableColumn id="6" xr3:uid="{D418EAAF-5452-42B9-AED6-BE27EF72D385}" name="P,Q-clustering on features " dataDxfId="17"/>
    <tableColumn id="8" xr3:uid="{9B4F2882-C8CF-478D-8F7D-30FE51680FB2}" name="P, Q, S, PF-clustering on features" dataDxfId="16"/>
    <tableColumn id="7" xr3:uid="{F5D29DFD-60CD-4FE9-AD75-244FEAC18631}" name="P, Q-clustering using PCA on features" dataDxfId="15"/>
    <tableColumn id="9" xr3:uid="{2AED19FF-092E-4FF3-8D57-7F476BD226EE}" name="P,Q,S,PF-clustering using PCA on features" dataDxfId="1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35DF7C0-9B98-46CF-93EC-960A44C39F1A}" name="Tabel1715172337" displayName="Tabel1715172337" ref="K17:R26" totalsRowShown="0" headerRowDxfId="13">
  <autoFilter ref="K17:R26" xr:uid="{635DF7C0-9B98-46CF-93EC-960A44C39F1A}"/>
  <tableColumns count="8">
    <tableColumn id="1" xr3:uid="{18474133-5277-4C20-AC39-80CF84B474AE}" name="Hierarchical clustering on filtered data"/>
    <tableColumn id="11" xr3:uid="{EF005948-52AA-44FF-A88F-81019E3D516D}" name="Cte PF over all _x000a_houses" dataDxfId="12"/>
    <tableColumn id="2" xr3:uid="{7D77FE03-E482-460C-814A-445732983A7C}" name="Cte PF over each_x000a_house separately" dataDxfId="11"/>
    <tableColumn id="4" xr3:uid="{0D2D05C3-548A-4260-BE6A-F7D3E8D98A4A}" name="PF-clustering on  time series" dataDxfId="10"/>
    <tableColumn id="6" xr3:uid="{97C123CF-E3B1-4A28-9FE1-ECA59106EFD0}" name="P,Q-clustering on features " dataDxfId="9"/>
    <tableColumn id="8" xr3:uid="{F3618021-2CB0-4E55-B3C9-B44AACF69EE7}" name="P, Q, S, PF-clustering on features" dataDxfId="8"/>
    <tableColumn id="7" xr3:uid="{4C50D0AF-F260-4DAD-A0A7-4C3B8247934E}" name="P, Q-clustering using PCA on features" dataDxfId="7"/>
    <tableColumn id="9" xr3:uid="{7CAE8E6D-5AC0-44EB-B478-3EB7B80C375F}" name="P,Q,S,PF-clustering using PCA on features" dataDxfId="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6709FBB-2116-440C-8D29-94C9934382E1}" name="Tabel171517231038" displayName="Tabel171517231038" ref="B30:G39" totalsRowShown="0" headerRowDxfId="5">
  <autoFilter ref="B30:G39" xr:uid="{66709FBB-2116-440C-8D29-94C9934382E1}"/>
  <tableColumns count="6">
    <tableColumn id="1" xr3:uid="{3D9F1A6E-EBAB-4502-A642-03D635C6B77F}" name="Hierarchical clustering on filtered data"/>
    <tableColumn id="4" xr3:uid="{A3545B9C-F773-4590-BD94-03C976D7A736}" name="PF-clustering on  time series" dataDxfId="4"/>
    <tableColumn id="6" xr3:uid="{6E7222FA-92FD-44F9-8E5F-B6D102D7DA90}" name="P,Q-clustering on features " dataDxfId="3"/>
    <tableColumn id="8" xr3:uid="{354D79D2-E726-435D-BF7C-7961B55ADC26}" name="P, Q, S, PF-clustering on features" dataDxfId="2"/>
    <tableColumn id="7" xr3:uid="{7BB8128E-C6F6-42F6-9E4A-9AACBEED8EFA}" name="P, Q-clustering using PCA on features" dataDxfId="1"/>
    <tableColumn id="9" xr3:uid="{DD30659D-D116-4196-ADDD-F8285B99AF43}" name="P,Q,S,PF-clustering using PCA on featu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DD81-95FE-4435-AC76-8EE647462CB5}">
  <dimension ref="B3:N39"/>
  <sheetViews>
    <sheetView zoomScale="63" workbookViewId="0">
      <selection activeCell="D24" sqref="D24"/>
    </sheetView>
  </sheetViews>
  <sheetFormatPr defaultRowHeight="14.4" x14ac:dyDescent="0.3"/>
  <cols>
    <col min="2" max="2" width="34.33203125" customWidth="1"/>
    <col min="3" max="3" width="27.33203125" customWidth="1"/>
    <col min="4" max="4" width="23" customWidth="1"/>
    <col min="5" max="5" width="20.6640625" customWidth="1"/>
    <col min="6" max="6" width="23.109375" customWidth="1"/>
    <col min="7" max="7" width="20.44140625" customWidth="1"/>
    <col min="9" max="9" width="41.88671875" customWidth="1"/>
    <col min="10" max="10" width="16.33203125" customWidth="1"/>
    <col min="11" max="11" width="15" customWidth="1"/>
    <col min="12" max="12" width="16" customWidth="1"/>
    <col min="13" max="13" width="14.77734375" customWidth="1"/>
    <col min="14" max="14" width="19.88671875" customWidth="1"/>
  </cols>
  <sheetData>
    <row r="3" spans="2:14" x14ac:dyDescent="0.3">
      <c r="C3" s="32" t="s">
        <v>23</v>
      </c>
      <c r="D3" s="32"/>
      <c r="E3" s="32"/>
      <c r="F3" s="32"/>
      <c r="G3" s="32"/>
      <c r="J3" s="32" t="s">
        <v>31</v>
      </c>
      <c r="K3" s="32"/>
      <c r="L3" s="32"/>
      <c r="M3" s="32"/>
      <c r="N3" s="32"/>
    </row>
    <row r="4" spans="2:14" ht="43.2" x14ac:dyDescent="0.3">
      <c r="B4" s="6" t="s">
        <v>6</v>
      </c>
      <c r="C4" s="1" t="s">
        <v>1</v>
      </c>
      <c r="D4" s="7" t="s">
        <v>2</v>
      </c>
      <c r="E4" s="7" t="s">
        <v>3</v>
      </c>
      <c r="F4" s="2" t="s">
        <v>4</v>
      </c>
      <c r="G4" s="2" t="s">
        <v>5</v>
      </c>
      <c r="I4" s="6" t="s">
        <v>6</v>
      </c>
      <c r="J4" s="2" t="s">
        <v>21</v>
      </c>
      <c r="K4" s="7" t="s">
        <v>2</v>
      </c>
      <c r="L4" s="7" t="s">
        <v>3</v>
      </c>
      <c r="M4" s="2" t="s">
        <v>4</v>
      </c>
      <c r="N4" s="2" t="s">
        <v>5</v>
      </c>
    </row>
    <row r="5" spans="2:14" x14ac:dyDescent="0.3">
      <c r="B5" t="s">
        <v>8</v>
      </c>
      <c r="C5" s="13">
        <v>4</v>
      </c>
      <c r="D5" s="13">
        <v>4</v>
      </c>
      <c r="E5" s="13">
        <v>4</v>
      </c>
      <c r="F5" s="13">
        <v>5</v>
      </c>
      <c r="G5" s="13">
        <v>4</v>
      </c>
      <c r="I5" t="s">
        <v>8</v>
      </c>
      <c r="J5" s="13">
        <v>5</v>
      </c>
      <c r="K5" s="13">
        <v>0</v>
      </c>
      <c r="L5" s="13">
        <v>1</v>
      </c>
      <c r="M5" s="13">
        <v>9</v>
      </c>
      <c r="N5" s="13">
        <v>3</v>
      </c>
    </row>
    <row r="6" spans="2:14" x14ac:dyDescent="0.3">
      <c r="B6" t="s">
        <v>9</v>
      </c>
      <c r="C6" s="13">
        <v>4</v>
      </c>
      <c r="D6" s="13">
        <v>4</v>
      </c>
      <c r="E6" s="13">
        <v>4</v>
      </c>
      <c r="F6" s="13">
        <v>4</v>
      </c>
      <c r="G6" s="13">
        <v>4</v>
      </c>
      <c r="I6" t="s">
        <v>9</v>
      </c>
      <c r="J6" s="13">
        <v>20</v>
      </c>
      <c r="K6" s="13">
        <v>10</v>
      </c>
      <c r="L6" s="13">
        <v>3</v>
      </c>
      <c r="M6" s="13">
        <v>2</v>
      </c>
      <c r="N6" s="13">
        <v>3</v>
      </c>
    </row>
    <row r="7" spans="2:14" x14ac:dyDescent="0.3">
      <c r="B7" t="s">
        <v>10</v>
      </c>
      <c r="C7" s="13">
        <v>5</v>
      </c>
      <c r="D7" s="13">
        <v>6</v>
      </c>
      <c r="E7" s="13">
        <v>3</v>
      </c>
      <c r="F7" s="13">
        <v>3</v>
      </c>
      <c r="G7" s="13">
        <v>5</v>
      </c>
      <c r="I7" t="s">
        <v>10</v>
      </c>
      <c r="J7" s="13">
        <v>3</v>
      </c>
      <c r="K7" s="13">
        <v>6</v>
      </c>
      <c r="L7" s="13">
        <v>0</v>
      </c>
      <c r="M7" s="13">
        <v>0</v>
      </c>
      <c r="N7" s="13">
        <v>22</v>
      </c>
    </row>
    <row r="8" spans="2:14" x14ac:dyDescent="0.3">
      <c r="B8" s="5" t="s">
        <v>11</v>
      </c>
      <c r="C8" s="13">
        <v>5</v>
      </c>
      <c r="D8" s="13">
        <v>4</v>
      </c>
      <c r="E8" s="13">
        <v>4</v>
      </c>
      <c r="F8" s="13">
        <v>4</v>
      </c>
      <c r="G8" s="13">
        <v>4</v>
      </c>
      <c r="I8" s="5" t="s">
        <v>11</v>
      </c>
      <c r="J8" s="13">
        <v>1</v>
      </c>
      <c r="K8" s="13">
        <v>4</v>
      </c>
      <c r="L8" s="13">
        <v>0</v>
      </c>
      <c r="M8" s="15">
        <v>8</v>
      </c>
      <c r="N8" s="15">
        <v>0</v>
      </c>
    </row>
    <row r="9" spans="2:14" x14ac:dyDescent="0.3">
      <c r="B9" t="s">
        <v>16</v>
      </c>
      <c r="C9" s="13">
        <v>3</v>
      </c>
      <c r="D9" s="13">
        <v>3</v>
      </c>
      <c r="E9" s="13">
        <v>4</v>
      </c>
      <c r="F9" s="13">
        <v>4</v>
      </c>
      <c r="G9" s="13">
        <v>4</v>
      </c>
      <c r="I9" t="s">
        <v>16</v>
      </c>
      <c r="J9" s="13">
        <v>0</v>
      </c>
      <c r="K9" s="13">
        <v>0</v>
      </c>
      <c r="L9" s="13">
        <v>2</v>
      </c>
      <c r="M9" s="13">
        <v>2</v>
      </c>
      <c r="N9" s="13">
        <v>1</v>
      </c>
    </row>
    <row r="10" spans="2:14" x14ac:dyDescent="0.3">
      <c r="B10" t="s">
        <v>15</v>
      </c>
      <c r="C10" s="13">
        <v>4</v>
      </c>
      <c r="D10" s="13">
        <v>6</v>
      </c>
      <c r="E10" s="13">
        <v>3</v>
      </c>
      <c r="F10" s="13">
        <v>3</v>
      </c>
      <c r="G10" s="13">
        <v>5</v>
      </c>
      <c r="I10" t="s">
        <v>15</v>
      </c>
      <c r="J10" s="13">
        <v>0</v>
      </c>
      <c r="K10" s="13">
        <v>9</v>
      </c>
      <c r="L10" s="13">
        <v>3</v>
      </c>
      <c r="M10" s="13">
        <v>1</v>
      </c>
      <c r="N10" s="13">
        <v>10</v>
      </c>
    </row>
    <row r="11" spans="2:14" x14ac:dyDescent="0.3">
      <c r="B11" t="s">
        <v>12</v>
      </c>
      <c r="C11" s="13" t="s">
        <v>86</v>
      </c>
      <c r="D11" s="13" t="s">
        <v>53</v>
      </c>
      <c r="E11" s="13" t="s">
        <v>30</v>
      </c>
      <c r="F11" s="13" t="s">
        <v>53</v>
      </c>
      <c r="G11" s="13" t="s">
        <v>66</v>
      </c>
      <c r="I11" t="s">
        <v>12</v>
      </c>
      <c r="J11" s="13" t="s">
        <v>91</v>
      </c>
      <c r="K11" s="13" t="s">
        <v>37</v>
      </c>
      <c r="L11" s="13" t="s">
        <v>70</v>
      </c>
      <c r="M11" s="13" t="s">
        <v>40</v>
      </c>
      <c r="N11" s="13" t="s">
        <v>73</v>
      </c>
    </row>
    <row r="12" spans="2:14" x14ac:dyDescent="0.3">
      <c r="B12" t="s">
        <v>13</v>
      </c>
      <c r="C12" s="13" t="s">
        <v>87</v>
      </c>
      <c r="D12" s="13" t="s">
        <v>54</v>
      </c>
      <c r="E12" s="13" t="s">
        <v>63</v>
      </c>
      <c r="F12" s="13" t="s">
        <v>59</v>
      </c>
      <c r="G12" s="13" t="s">
        <v>30</v>
      </c>
      <c r="I12" t="s">
        <v>13</v>
      </c>
      <c r="J12" s="13" t="s">
        <v>92</v>
      </c>
      <c r="K12" s="13" t="s">
        <v>38</v>
      </c>
      <c r="L12" s="13" t="s">
        <v>71</v>
      </c>
      <c r="M12" s="13" t="s">
        <v>41</v>
      </c>
      <c r="N12" s="13" t="s">
        <v>74</v>
      </c>
    </row>
    <row r="13" spans="2:14" x14ac:dyDescent="0.3">
      <c r="B13" t="s">
        <v>17</v>
      </c>
      <c r="C13" s="13" t="s">
        <v>88</v>
      </c>
      <c r="D13" s="13" t="s">
        <v>55</v>
      </c>
      <c r="E13" s="13" t="s">
        <v>59</v>
      </c>
      <c r="F13" s="13" t="s">
        <v>60</v>
      </c>
      <c r="G13" s="13" t="s">
        <v>67</v>
      </c>
      <c r="I13" t="s">
        <v>17</v>
      </c>
      <c r="J13" s="13" t="s">
        <v>93</v>
      </c>
      <c r="K13" s="13" t="s">
        <v>39</v>
      </c>
      <c r="L13" s="13" t="s">
        <v>72</v>
      </c>
      <c r="M13" s="13" t="s">
        <v>42</v>
      </c>
      <c r="N13" s="13" t="s">
        <v>75</v>
      </c>
    </row>
    <row r="16" spans="2:14" x14ac:dyDescent="0.3">
      <c r="C16" s="32" t="s">
        <v>23</v>
      </c>
      <c r="D16" s="32"/>
      <c r="E16" s="32"/>
      <c r="F16" s="32"/>
      <c r="G16" s="32"/>
    </row>
    <row r="17" spans="2:7" ht="28.8" x14ac:dyDescent="0.3">
      <c r="B17" s="6" t="s">
        <v>7</v>
      </c>
      <c r="C17" s="1" t="s">
        <v>1</v>
      </c>
      <c r="D17" s="7" t="s">
        <v>2</v>
      </c>
      <c r="E17" s="7" t="s">
        <v>3</v>
      </c>
      <c r="F17" s="2" t="s">
        <v>4</v>
      </c>
      <c r="G17" s="2" t="s">
        <v>5</v>
      </c>
    </row>
    <row r="18" spans="2:7" x14ac:dyDescent="0.3">
      <c r="B18" t="s">
        <v>8</v>
      </c>
      <c r="C18" s="13">
        <v>4</v>
      </c>
      <c r="D18" s="13">
        <v>4</v>
      </c>
      <c r="E18" s="13">
        <v>5</v>
      </c>
      <c r="F18" s="13">
        <v>5</v>
      </c>
      <c r="G18" s="13">
        <v>4</v>
      </c>
    </row>
    <row r="19" spans="2:7" x14ac:dyDescent="0.3">
      <c r="B19" t="s">
        <v>9</v>
      </c>
      <c r="C19" s="13">
        <v>4</v>
      </c>
      <c r="D19" s="13">
        <v>4</v>
      </c>
      <c r="E19" s="13">
        <v>3</v>
      </c>
      <c r="F19" s="13">
        <v>4</v>
      </c>
      <c r="G19" s="13">
        <v>4</v>
      </c>
    </row>
    <row r="20" spans="2:7" x14ac:dyDescent="0.3">
      <c r="B20" t="s">
        <v>10</v>
      </c>
      <c r="C20" s="13">
        <v>4</v>
      </c>
      <c r="D20" s="13">
        <v>7</v>
      </c>
      <c r="E20" s="13">
        <v>3</v>
      </c>
      <c r="F20" s="13">
        <v>6</v>
      </c>
      <c r="G20" s="13">
        <v>3</v>
      </c>
    </row>
    <row r="21" spans="2:7" x14ac:dyDescent="0.3">
      <c r="B21" s="5" t="s">
        <v>11</v>
      </c>
      <c r="C21" s="13">
        <v>4</v>
      </c>
      <c r="D21" s="13">
        <v>4</v>
      </c>
      <c r="E21" s="13">
        <v>4</v>
      </c>
      <c r="F21" s="13">
        <v>4</v>
      </c>
      <c r="G21" s="13">
        <v>3</v>
      </c>
    </row>
    <row r="22" spans="2:7" x14ac:dyDescent="0.3">
      <c r="B22" t="s">
        <v>16</v>
      </c>
      <c r="C22" s="13">
        <v>3</v>
      </c>
      <c r="D22" s="13">
        <v>3</v>
      </c>
      <c r="E22" s="13">
        <v>4</v>
      </c>
      <c r="F22" s="13">
        <v>4</v>
      </c>
      <c r="G22" s="13">
        <v>4</v>
      </c>
    </row>
    <row r="23" spans="2:7" x14ac:dyDescent="0.3">
      <c r="B23" t="s">
        <v>15</v>
      </c>
      <c r="C23" s="13">
        <v>4</v>
      </c>
      <c r="D23" s="13">
        <v>6</v>
      </c>
      <c r="E23" s="13">
        <v>3</v>
      </c>
      <c r="F23" s="13">
        <v>4</v>
      </c>
      <c r="G23" s="13">
        <v>6</v>
      </c>
    </row>
    <row r="24" spans="2:7" x14ac:dyDescent="0.3">
      <c r="B24" t="s">
        <v>12</v>
      </c>
      <c r="C24" s="13" t="s">
        <v>85</v>
      </c>
      <c r="D24" s="13" t="s">
        <v>56</v>
      </c>
      <c r="E24" s="13" t="s">
        <v>64</v>
      </c>
      <c r="F24" s="13" t="s">
        <v>61</v>
      </c>
      <c r="G24" s="13" t="s">
        <v>68</v>
      </c>
    </row>
    <row r="25" spans="2:7" x14ac:dyDescent="0.3">
      <c r="B25" t="s">
        <v>13</v>
      </c>
      <c r="C25" s="13" t="s">
        <v>89</v>
      </c>
      <c r="D25" s="13" t="s">
        <v>57</v>
      </c>
      <c r="E25" s="13" t="s">
        <v>29</v>
      </c>
      <c r="F25" s="13" t="s">
        <v>62</v>
      </c>
      <c r="G25" s="13" t="s">
        <v>69</v>
      </c>
    </row>
    <row r="26" spans="2:7" x14ac:dyDescent="0.3">
      <c r="B26" t="s">
        <v>17</v>
      </c>
      <c r="C26" s="13" t="s">
        <v>90</v>
      </c>
      <c r="D26" s="13" t="s">
        <v>58</v>
      </c>
      <c r="E26" s="13" t="s">
        <v>65</v>
      </c>
      <c r="F26" s="13" t="s">
        <v>60</v>
      </c>
      <c r="G26" s="13" t="s">
        <v>67</v>
      </c>
    </row>
    <row r="29" spans="2:7" x14ac:dyDescent="0.3">
      <c r="C29" s="32" t="s">
        <v>33</v>
      </c>
      <c r="D29" s="32"/>
      <c r="E29" s="32"/>
      <c r="F29" s="32"/>
      <c r="G29" s="32"/>
    </row>
    <row r="30" spans="2:7" ht="28.8" x14ac:dyDescent="0.3">
      <c r="B30" s="6" t="s">
        <v>32</v>
      </c>
      <c r="C30" s="2" t="s">
        <v>21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7" ht="35.4" customHeight="1" x14ac:dyDescent="0.3">
      <c r="B31" t="s">
        <v>8</v>
      </c>
      <c r="C31" s="13"/>
      <c r="D31" s="5" t="s">
        <v>43</v>
      </c>
      <c r="E31" s="5" t="s">
        <v>76</v>
      </c>
      <c r="F31" s="13">
        <v>10</v>
      </c>
      <c r="G31" s="13">
        <v>10</v>
      </c>
    </row>
    <row r="32" spans="2:7" ht="52.2" customHeight="1" x14ac:dyDescent="0.3">
      <c r="B32" t="s">
        <v>9</v>
      </c>
      <c r="C32" s="13"/>
      <c r="D32" s="5" t="s">
        <v>44</v>
      </c>
      <c r="E32" s="5" t="s">
        <v>77</v>
      </c>
      <c r="F32" s="13">
        <v>10</v>
      </c>
      <c r="G32" s="13">
        <v>10</v>
      </c>
    </row>
    <row r="33" spans="2:7" ht="55.2" customHeight="1" x14ac:dyDescent="0.3">
      <c r="B33" t="s">
        <v>10</v>
      </c>
      <c r="C33" s="13"/>
      <c r="D33" s="5" t="s">
        <v>45</v>
      </c>
      <c r="E33" s="5" t="s">
        <v>78</v>
      </c>
      <c r="F33" s="13">
        <v>10</v>
      </c>
      <c r="G33" s="13">
        <v>10</v>
      </c>
    </row>
    <row r="34" spans="2:7" ht="49.2" customHeight="1" x14ac:dyDescent="0.3">
      <c r="B34" s="5" t="s">
        <v>11</v>
      </c>
      <c r="C34" s="13"/>
      <c r="D34" s="5" t="s">
        <v>46</v>
      </c>
      <c r="E34" s="5" t="s">
        <v>79</v>
      </c>
      <c r="F34" s="15">
        <v>10</v>
      </c>
      <c r="G34" s="15">
        <v>10</v>
      </c>
    </row>
    <row r="35" spans="2:7" ht="57.6" customHeight="1" x14ac:dyDescent="0.3">
      <c r="B35" t="s">
        <v>16</v>
      </c>
      <c r="C35" s="13"/>
      <c r="D35" s="5" t="s">
        <v>47</v>
      </c>
      <c r="E35" s="5" t="s">
        <v>80</v>
      </c>
      <c r="F35" s="13">
        <v>10</v>
      </c>
      <c r="G35" s="13">
        <v>10</v>
      </c>
    </row>
    <row r="36" spans="2:7" ht="67.2" customHeight="1" x14ac:dyDescent="0.3">
      <c r="B36" t="s">
        <v>15</v>
      </c>
      <c r="C36" s="13"/>
      <c r="D36" s="5" t="s">
        <v>48</v>
      </c>
      <c r="E36" s="5" t="s">
        <v>81</v>
      </c>
      <c r="F36" s="13">
        <v>10</v>
      </c>
      <c r="G36" s="13">
        <v>10</v>
      </c>
    </row>
    <row r="37" spans="2:7" ht="61.8" customHeight="1" x14ac:dyDescent="0.3">
      <c r="B37" t="s">
        <v>12</v>
      </c>
      <c r="C37" s="13"/>
      <c r="D37" s="5" t="s">
        <v>49</v>
      </c>
      <c r="E37" s="5" t="s">
        <v>82</v>
      </c>
      <c r="F37" s="13" t="s">
        <v>52</v>
      </c>
      <c r="G37" s="13" t="s">
        <v>52</v>
      </c>
    </row>
    <row r="38" spans="2:7" ht="65.400000000000006" customHeight="1" x14ac:dyDescent="0.3">
      <c r="B38" t="s">
        <v>13</v>
      </c>
      <c r="C38" s="13"/>
      <c r="D38" s="5" t="s">
        <v>50</v>
      </c>
      <c r="E38" s="5" t="s">
        <v>83</v>
      </c>
      <c r="F38" s="13" t="s">
        <v>52</v>
      </c>
      <c r="G38" s="13" t="s">
        <v>52</v>
      </c>
    </row>
    <row r="39" spans="2:7" ht="72" customHeight="1" x14ac:dyDescent="0.3">
      <c r="B39" t="s">
        <v>17</v>
      </c>
      <c r="C39" s="13"/>
      <c r="D39" s="5" t="s">
        <v>51</v>
      </c>
      <c r="E39" s="5" t="s">
        <v>84</v>
      </c>
      <c r="F39" s="13" t="s">
        <v>52</v>
      </c>
      <c r="G39" s="13" t="s">
        <v>52</v>
      </c>
    </row>
  </sheetData>
  <mergeCells count="4">
    <mergeCell ref="C29:G29"/>
    <mergeCell ref="C3:G3"/>
    <mergeCell ref="C16:G16"/>
    <mergeCell ref="J3:N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458F-84D5-49C8-95DE-D7011D98E645}">
  <dimension ref="B3:W39"/>
  <sheetViews>
    <sheetView zoomScale="54" zoomScaleNormal="13" workbookViewId="0">
      <selection activeCell="C29" sqref="C29:G29"/>
    </sheetView>
  </sheetViews>
  <sheetFormatPr defaultRowHeight="14.4" x14ac:dyDescent="0.3"/>
  <cols>
    <col min="2" max="2" width="32.44140625" customWidth="1"/>
    <col min="3" max="3" width="19.77734375" customWidth="1"/>
    <col min="4" max="4" width="20.5546875" customWidth="1"/>
    <col min="5" max="5" width="28.6640625" customWidth="1"/>
    <col min="6" max="6" width="18.44140625" customWidth="1"/>
    <col min="7" max="7" width="20.109375" customWidth="1"/>
    <col min="8" max="8" width="15.109375" customWidth="1"/>
    <col min="9" max="9" width="15.44140625" customWidth="1"/>
    <col min="11" max="11" width="41.21875" customWidth="1"/>
    <col min="12" max="12" width="15.109375" customWidth="1"/>
    <col min="13" max="13" width="13.6640625" customWidth="1"/>
    <col min="14" max="14" width="18" customWidth="1"/>
    <col min="15" max="15" width="15.21875" customWidth="1"/>
    <col min="16" max="16" width="16.21875" customWidth="1"/>
    <col min="17" max="17" width="15" customWidth="1"/>
    <col min="18" max="18" width="15.6640625" customWidth="1"/>
  </cols>
  <sheetData>
    <row r="3" spans="2:23" x14ac:dyDescent="0.3">
      <c r="C3" s="32" t="s">
        <v>36</v>
      </c>
      <c r="D3" s="32"/>
      <c r="E3" s="32"/>
      <c r="F3" s="32"/>
      <c r="G3" s="32"/>
      <c r="H3" s="32"/>
      <c r="I3" s="32"/>
      <c r="L3" s="33" t="s">
        <v>26</v>
      </c>
      <c r="M3" s="33"/>
      <c r="N3" s="33"/>
      <c r="O3" s="33"/>
      <c r="P3" s="33"/>
      <c r="Q3" s="33"/>
      <c r="R3" s="33"/>
    </row>
    <row r="4" spans="2:23" ht="57.6" x14ac:dyDescent="0.3">
      <c r="B4" s="6" t="s">
        <v>6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20" t="s">
        <v>6</v>
      </c>
      <c r="L4" s="3" t="s">
        <v>20</v>
      </c>
      <c r="M4" s="3" t="s">
        <v>27</v>
      </c>
      <c r="N4" s="21" t="s">
        <v>1</v>
      </c>
      <c r="O4" s="22" t="s">
        <v>2</v>
      </c>
      <c r="P4" s="22" t="s">
        <v>3</v>
      </c>
      <c r="Q4" s="3" t="s">
        <v>4</v>
      </c>
      <c r="R4" s="19" t="s">
        <v>5</v>
      </c>
    </row>
    <row r="5" spans="2:23" x14ac:dyDescent="0.3">
      <c r="B5" t="s">
        <v>8</v>
      </c>
      <c r="C5" s="4">
        <v>0</v>
      </c>
      <c r="D5" s="14">
        <v>0.24160000000000001</v>
      </c>
      <c r="E5" s="10">
        <v>2.6645154461075404E-2</v>
      </c>
      <c r="F5" s="10">
        <v>0.23357183811184024</v>
      </c>
      <c r="G5" s="10">
        <v>0.23357183811184024</v>
      </c>
      <c r="H5" s="10">
        <v>0.23357183811184024</v>
      </c>
      <c r="I5" s="10">
        <v>0.23217346903668301</v>
      </c>
      <c r="K5" s="17" t="s">
        <v>8</v>
      </c>
      <c r="L5" s="26">
        <v>6.6220000000000001E-2</v>
      </c>
      <c r="M5" s="26">
        <v>5.0220000000000001E-2</v>
      </c>
      <c r="N5" s="26">
        <v>6.445555787158759E-2</v>
      </c>
      <c r="O5" s="26">
        <v>5.0752872880233939E-2</v>
      </c>
      <c r="P5" s="26">
        <v>5.0752872880233939E-2</v>
      </c>
      <c r="Q5" s="26">
        <v>5.0752872880233939E-2</v>
      </c>
      <c r="R5" s="28">
        <v>5.0845472880390853E-2</v>
      </c>
    </row>
    <row r="6" spans="2:23" x14ac:dyDescent="0.3">
      <c r="B6" t="s">
        <v>9</v>
      </c>
      <c r="C6" s="4">
        <v>0</v>
      </c>
      <c r="D6" s="14">
        <v>0.24160000000000001</v>
      </c>
      <c r="E6" s="10">
        <v>2.6884227500464708E-2</v>
      </c>
      <c r="F6" s="10">
        <v>0.23604897369470879</v>
      </c>
      <c r="G6" s="10">
        <v>0.23357183811184024</v>
      </c>
      <c r="H6" s="10">
        <v>0.23357183811184024</v>
      </c>
      <c r="I6" s="10">
        <v>0.23199962060033963</v>
      </c>
      <c r="K6" s="18" t="s">
        <v>9</v>
      </c>
      <c r="L6" s="27">
        <v>6.6220000000000001E-2</v>
      </c>
      <c r="M6" s="27">
        <v>0.05</v>
      </c>
      <c r="N6" s="27">
        <v>6.443972645491923E-2</v>
      </c>
      <c r="O6" s="27">
        <v>5.0588836961936383E-2</v>
      </c>
      <c r="P6" s="27">
        <v>5.0752872880233939E-2</v>
      </c>
      <c r="Q6" s="27">
        <v>5.0752872880233939E-2</v>
      </c>
      <c r="R6" s="29">
        <v>5.0856985123845511E-2</v>
      </c>
    </row>
    <row r="7" spans="2:23" x14ac:dyDescent="0.3">
      <c r="B7" t="s">
        <v>10</v>
      </c>
      <c r="C7" s="4">
        <v>0</v>
      </c>
      <c r="D7" s="14">
        <v>0.24160000000000001</v>
      </c>
      <c r="E7" s="10">
        <v>0.16226588337539882</v>
      </c>
      <c r="F7" s="10">
        <v>0.23201119460359243</v>
      </c>
      <c r="G7" s="10">
        <v>4.4409273142975714E-5</v>
      </c>
      <c r="H7" s="10">
        <v>0.23199962060033963</v>
      </c>
      <c r="I7" s="10">
        <v>0.22103211232172382</v>
      </c>
      <c r="K7" s="17" t="s">
        <v>10</v>
      </c>
      <c r="L7" s="26">
        <v>6.6220000000000001E-2</v>
      </c>
      <c r="M7" s="26">
        <v>0.05</v>
      </c>
      <c r="N7" s="26">
        <v>5.5474753202881089E-2</v>
      </c>
      <c r="O7" s="26">
        <v>5.0856218693350108E-2</v>
      </c>
      <c r="P7" s="26">
        <v>6.6217059217932472E-2</v>
      </c>
      <c r="Q7" s="26">
        <v>5.0856985123845511E-2</v>
      </c>
      <c r="R7" s="28">
        <v>5.158325352205545E-2</v>
      </c>
      <c r="U7" s="11"/>
      <c r="V7" s="11"/>
      <c r="W7" s="11"/>
    </row>
    <row r="8" spans="2:23" ht="19.8" customHeight="1" x14ac:dyDescent="0.3">
      <c r="B8" s="5" t="s">
        <v>11</v>
      </c>
      <c r="C8" s="4">
        <v>0</v>
      </c>
      <c r="D8" s="14">
        <v>0.24160000000000001</v>
      </c>
      <c r="E8" s="10">
        <v>0.13090828692515966</v>
      </c>
      <c r="F8" s="10">
        <v>0.22792262086518134</v>
      </c>
      <c r="G8" s="10">
        <v>0.21665989886058135</v>
      </c>
      <c r="H8" s="10">
        <v>0.22969041478608487</v>
      </c>
      <c r="I8" s="10">
        <v>0.23199962060033963</v>
      </c>
      <c r="K8" s="25" t="s">
        <v>11</v>
      </c>
      <c r="L8" s="27">
        <v>6.6220000000000001E-2</v>
      </c>
      <c r="M8" s="27">
        <v>5.0220000000000001E-2</v>
      </c>
      <c r="N8" s="27">
        <v>5.7551253239815928E-2</v>
      </c>
      <c r="O8" s="27">
        <v>5.1126964046307691E-2</v>
      </c>
      <c r="P8" s="27">
        <v>5.1872781497452301E-2</v>
      </c>
      <c r="Q8" s="27">
        <v>5.100990073286546E-2</v>
      </c>
      <c r="R8" s="29">
        <v>5.0856985123845511E-2</v>
      </c>
      <c r="U8" s="11"/>
      <c r="V8" s="11"/>
      <c r="W8" s="11"/>
    </row>
    <row r="9" spans="2:23" x14ac:dyDescent="0.3">
      <c r="B9" t="s">
        <v>16</v>
      </c>
      <c r="C9" s="4">
        <v>0</v>
      </c>
      <c r="D9" s="14">
        <v>0.24160000000000001</v>
      </c>
      <c r="E9" s="10">
        <v>2.6928672743558035E-2</v>
      </c>
      <c r="F9" s="10">
        <v>0.21505091561999978</v>
      </c>
      <c r="G9" s="10">
        <v>0.22629021565733254</v>
      </c>
      <c r="H9" s="10">
        <v>0.23357183811184024</v>
      </c>
      <c r="I9" s="10">
        <v>0.23635311628777655</v>
      </c>
      <c r="K9" s="17" t="s">
        <v>16</v>
      </c>
      <c r="L9" s="26">
        <v>6.6220000000000001E-2</v>
      </c>
      <c r="M9" s="26">
        <v>0.05</v>
      </c>
      <c r="N9" s="26">
        <v>6.443678329092159E-2</v>
      </c>
      <c r="O9" s="26">
        <v>5.1979328367643615E-2</v>
      </c>
      <c r="P9" s="26">
        <v>5.1235061919171439E-2</v>
      </c>
      <c r="Q9" s="26">
        <v>5.0752872880233939E-2</v>
      </c>
      <c r="R9" s="28">
        <v>5.0568696639423434E-2</v>
      </c>
      <c r="U9" s="11"/>
      <c r="V9" s="11"/>
      <c r="W9" s="11"/>
    </row>
    <row r="10" spans="2:23" x14ac:dyDescent="0.3">
      <c r="B10" t="s">
        <v>15</v>
      </c>
      <c r="C10" s="4">
        <v>0</v>
      </c>
      <c r="D10" s="14">
        <v>0.24160000000000001</v>
      </c>
      <c r="E10" s="10">
        <v>7.5689950862653843E-2</v>
      </c>
      <c r="F10" s="10">
        <v>0.23217346903668312</v>
      </c>
      <c r="G10" s="10">
        <v>6.31832684168665E-3</v>
      </c>
      <c r="H10" s="10">
        <v>0.23199962060033963</v>
      </c>
      <c r="I10" s="10">
        <v>0.23199962060033963</v>
      </c>
      <c r="K10" s="18" t="s">
        <v>15</v>
      </c>
      <c r="L10" s="27">
        <v>6.6220000000000001E-2</v>
      </c>
      <c r="M10" s="27">
        <v>0.05</v>
      </c>
      <c r="N10" s="27">
        <v>6.1207811453875063E-2</v>
      </c>
      <c r="O10" s="27">
        <v>5.0845472880390846E-2</v>
      </c>
      <c r="P10" s="27">
        <v>6.5801600396543508E-2</v>
      </c>
      <c r="Q10" s="27">
        <v>5.0856985123845511E-2</v>
      </c>
      <c r="R10" s="29">
        <v>5.0856985123845511E-2</v>
      </c>
    </row>
    <row r="11" spans="2:23" x14ac:dyDescent="0.3">
      <c r="B11" t="s">
        <v>12</v>
      </c>
      <c r="C11" s="4">
        <v>0</v>
      </c>
      <c r="D11" s="14">
        <v>0.30806</v>
      </c>
      <c r="E11" s="10">
        <v>0.10764795241080638</v>
      </c>
      <c r="F11" s="10">
        <v>0.29690036204970904</v>
      </c>
      <c r="G11" s="10">
        <v>0.27750889804922607</v>
      </c>
      <c r="H11" s="10">
        <v>0.25757651240550472</v>
      </c>
      <c r="I11" s="10">
        <v>0.27961862609541566</v>
      </c>
      <c r="K11" s="17" t="s">
        <v>12</v>
      </c>
      <c r="L11" s="26">
        <v>6.6220000000000001E-2</v>
      </c>
      <c r="M11" s="26">
        <v>4.582E-2</v>
      </c>
      <c r="N11" s="26">
        <v>5.90915525913564E-2</v>
      </c>
      <c r="O11" s="26">
        <v>4.6559258025068266E-2</v>
      </c>
      <c r="P11" s="26">
        <v>4.7843360771180253E-2</v>
      </c>
      <c r="Q11" s="26">
        <v>4.9163283348507475E-2</v>
      </c>
      <c r="R11" s="28">
        <v>4.7703654579961577E-2</v>
      </c>
    </row>
    <row r="12" spans="2:23" x14ac:dyDescent="0.3">
      <c r="B12" t="s">
        <v>13</v>
      </c>
      <c r="C12" s="4">
        <v>0</v>
      </c>
      <c r="D12" s="14">
        <v>0.30790000000000001</v>
      </c>
      <c r="E12" s="10">
        <v>0.1299103800718181</v>
      </c>
      <c r="F12" s="10">
        <v>0.27816715792701974</v>
      </c>
      <c r="G12" s="10">
        <v>0.29704173835462822</v>
      </c>
      <c r="H12" s="10">
        <v>0.28661204328127587</v>
      </c>
      <c r="I12" s="10">
        <v>0.29786573051772536</v>
      </c>
      <c r="K12" s="18" t="s">
        <v>13</v>
      </c>
      <c r="L12" s="27">
        <v>6.6220000000000001E-2</v>
      </c>
      <c r="M12" s="27">
        <v>4.5830000000000003E-2</v>
      </c>
      <c r="N12" s="27">
        <v>5.7617334631644208E-2</v>
      </c>
      <c r="O12" s="27">
        <v>4.7799770802072754E-2</v>
      </c>
      <c r="P12" s="27">
        <v>4.654989608615652E-2</v>
      </c>
      <c r="Q12" s="27">
        <v>4.7240550493913916E-2</v>
      </c>
      <c r="R12" s="29">
        <v>4.6495331325116226E-2</v>
      </c>
    </row>
    <row r="13" spans="2:23" x14ac:dyDescent="0.3">
      <c r="B13" t="s">
        <v>17</v>
      </c>
      <c r="C13" s="4">
        <v>0</v>
      </c>
      <c r="D13" s="14">
        <v>0.30730000000000002</v>
      </c>
      <c r="E13" s="10">
        <v>0.14202238094360065</v>
      </c>
      <c r="F13" s="10">
        <v>0.17644250844009612</v>
      </c>
      <c r="G13" s="10">
        <v>0.15074505679825345</v>
      </c>
      <c r="H13" s="10">
        <v>0.24016189352853679</v>
      </c>
      <c r="I13" s="10">
        <v>0.22806125910837605</v>
      </c>
      <c r="K13" s="17" t="s">
        <v>17</v>
      </c>
      <c r="L13" s="26">
        <v>6.6220000000000001E-2</v>
      </c>
      <c r="M13" s="26">
        <v>4.5870000000000001E-2</v>
      </c>
      <c r="N13" s="26">
        <v>5.6815277933914769E-2</v>
      </c>
      <c r="O13" s="26">
        <v>5.4535977091096838E-2</v>
      </c>
      <c r="P13" s="26">
        <v>5.6237662338819661E-2</v>
      </c>
      <c r="Q13" s="26">
        <v>5.0316479410540293E-2</v>
      </c>
      <c r="R13" s="28">
        <v>5.1117783421843338E-2</v>
      </c>
    </row>
    <row r="15" spans="2:23" x14ac:dyDescent="0.3">
      <c r="H15" s="11"/>
      <c r="I15" s="11"/>
      <c r="J15" s="11"/>
      <c r="K15" s="11"/>
      <c r="L15" s="11"/>
    </row>
    <row r="16" spans="2:23" x14ac:dyDescent="0.3">
      <c r="C16" s="32" t="s">
        <v>35</v>
      </c>
      <c r="D16" s="32"/>
      <c r="E16" s="32"/>
      <c r="F16" s="32"/>
      <c r="G16" s="32"/>
      <c r="H16" s="32"/>
      <c r="I16" s="32"/>
      <c r="L16" s="33" t="s">
        <v>34</v>
      </c>
      <c r="M16" s="33"/>
      <c r="N16" s="33"/>
      <c r="O16" s="33"/>
      <c r="P16" s="33"/>
      <c r="Q16" s="33"/>
      <c r="R16" s="33"/>
    </row>
    <row r="17" spans="2:18" ht="57.6" x14ac:dyDescent="0.3">
      <c r="B17" s="6" t="s">
        <v>6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20" t="s">
        <v>6</v>
      </c>
      <c r="L17" s="3" t="s">
        <v>20</v>
      </c>
      <c r="M17" s="3" t="s">
        <v>27</v>
      </c>
      <c r="N17" s="21" t="s">
        <v>1</v>
      </c>
      <c r="O17" s="22" t="s">
        <v>2</v>
      </c>
      <c r="P17" s="22" t="s">
        <v>3</v>
      </c>
      <c r="Q17" s="3" t="s">
        <v>4</v>
      </c>
      <c r="R17" s="19" t="s">
        <v>5</v>
      </c>
    </row>
    <row r="18" spans="2:18" x14ac:dyDescent="0.3">
      <c r="B18" t="s">
        <v>8</v>
      </c>
      <c r="C18" s="4"/>
      <c r="D18" s="14"/>
      <c r="E18" s="10"/>
      <c r="F18" s="10"/>
      <c r="G18" s="10"/>
      <c r="H18" s="10"/>
      <c r="I18" s="10"/>
      <c r="K18" s="17" t="s">
        <v>8</v>
      </c>
      <c r="L18" s="26"/>
      <c r="M18" s="26"/>
      <c r="N18" s="26"/>
      <c r="O18" s="26"/>
      <c r="P18" s="26"/>
      <c r="Q18" s="26"/>
      <c r="R18" s="28"/>
    </row>
    <row r="19" spans="2:18" x14ac:dyDescent="0.3">
      <c r="B19" t="s">
        <v>9</v>
      </c>
      <c r="C19" s="4"/>
      <c r="D19" s="14"/>
      <c r="E19" s="10"/>
      <c r="F19" s="10"/>
      <c r="G19" s="10"/>
      <c r="H19" s="10"/>
      <c r="I19" s="10"/>
      <c r="K19" s="18" t="s">
        <v>9</v>
      </c>
      <c r="L19" s="27"/>
      <c r="M19" s="27"/>
      <c r="N19" s="27"/>
      <c r="O19" s="27"/>
      <c r="P19" s="27"/>
      <c r="Q19" s="27"/>
      <c r="R19" s="29"/>
    </row>
    <row r="20" spans="2:18" x14ac:dyDescent="0.3">
      <c r="B20" t="s">
        <v>10</v>
      </c>
      <c r="C20" s="4"/>
      <c r="D20" s="14"/>
      <c r="E20" s="10"/>
      <c r="F20" s="10"/>
      <c r="G20" s="10"/>
      <c r="H20" s="10"/>
      <c r="I20" s="10"/>
      <c r="K20" s="17" t="s">
        <v>10</v>
      </c>
      <c r="L20" s="26"/>
      <c r="M20" s="26"/>
      <c r="N20" s="26"/>
      <c r="O20" s="26"/>
      <c r="P20" s="26"/>
      <c r="Q20" s="26"/>
      <c r="R20" s="28"/>
    </row>
    <row r="21" spans="2:18" x14ac:dyDescent="0.3">
      <c r="B21" s="5" t="s">
        <v>11</v>
      </c>
      <c r="C21" s="4"/>
      <c r="D21" s="14"/>
      <c r="E21" s="10"/>
      <c r="F21" s="10"/>
      <c r="G21" s="10"/>
      <c r="H21" s="10"/>
      <c r="I21" s="10"/>
      <c r="K21" s="25" t="s">
        <v>11</v>
      </c>
      <c r="L21" s="27"/>
      <c r="M21" s="27"/>
      <c r="N21" s="27"/>
      <c r="O21" s="27"/>
      <c r="P21" s="27"/>
      <c r="Q21" s="27"/>
      <c r="R21" s="29"/>
    </row>
    <row r="22" spans="2:18" x14ac:dyDescent="0.3">
      <c r="B22" t="s">
        <v>16</v>
      </c>
      <c r="C22" s="4"/>
      <c r="D22" s="14"/>
      <c r="E22" s="10"/>
      <c r="F22" s="10"/>
      <c r="G22" s="10"/>
      <c r="H22" s="10"/>
      <c r="I22" s="10"/>
      <c r="K22" s="17" t="s">
        <v>16</v>
      </c>
      <c r="L22" s="26"/>
      <c r="M22" s="26"/>
      <c r="N22" s="26"/>
      <c r="O22" s="26"/>
      <c r="P22" s="26"/>
      <c r="Q22" s="26"/>
      <c r="R22" s="28"/>
    </row>
    <row r="23" spans="2:18" x14ac:dyDescent="0.3">
      <c r="B23" t="s">
        <v>15</v>
      </c>
      <c r="C23" s="4"/>
      <c r="D23" s="14"/>
      <c r="E23" s="10"/>
      <c r="F23" s="10"/>
      <c r="G23" s="10"/>
      <c r="H23" s="10"/>
      <c r="I23" s="10"/>
      <c r="K23" s="18" t="s">
        <v>15</v>
      </c>
      <c r="L23" s="27"/>
      <c r="M23" s="27"/>
      <c r="N23" s="27"/>
      <c r="O23" s="27"/>
      <c r="P23" s="27"/>
      <c r="Q23" s="27"/>
      <c r="R23" s="29"/>
    </row>
    <row r="24" spans="2:18" x14ac:dyDescent="0.3">
      <c r="B24" t="s">
        <v>12</v>
      </c>
      <c r="C24" s="4"/>
      <c r="D24" s="14"/>
      <c r="E24" s="10"/>
      <c r="F24" s="10"/>
      <c r="G24" s="10"/>
      <c r="H24" s="10"/>
      <c r="I24" s="10"/>
      <c r="K24" s="17" t="s">
        <v>12</v>
      </c>
      <c r="L24" s="26"/>
      <c r="M24" s="26"/>
      <c r="N24" s="26"/>
      <c r="O24" s="26"/>
      <c r="P24" s="26"/>
      <c r="Q24" s="26"/>
      <c r="R24" s="28"/>
    </row>
    <row r="25" spans="2:18" x14ac:dyDescent="0.3">
      <c r="B25" t="s">
        <v>13</v>
      </c>
      <c r="C25" s="4"/>
      <c r="D25" s="14"/>
      <c r="E25" s="10"/>
      <c r="F25" s="10"/>
      <c r="G25" s="10"/>
      <c r="H25" s="10"/>
      <c r="I25" s="10"/>
      <c r="K25" s="18" t="s">
        <v>13</v>
      </c>
      <c r="L25" s="27"/>
      <c r="M25" s="27"/>
      <c r="N25" s="27"/>
      <c r="O25" s="27"/>
      <c r="P25" s="27"/>
      <c r="Q25" s="27"/>
      <c r="R25" s="29"/>
    </row>
    <row r="26" spans="2:18" x14ac:dyDescent="0.3">
      <c r="B26" t="s">
        <v>17</v>
      </c>
      <c r="C26" s="4"/>
      <c r="D26" s="14"/>
      <c r="E26" s="10"/>
      <c r="F26" s="10"/>
      <c r="G26" s="10"/>
      <c r="H26" s="10"/>
      <c r="I26" s="10"/>
      <c r="K26" s="17" t="s">
        <v>17</v>
      </c>
      <c r="L26" s="26"/>
      <c r="M26" s="26"/>
      <c r="N26" s="26"/>
      <c r="O26" s="26"/>
      <c r="P26" s="26"/>
      <c r="Q26" s="26"/>
      <c r="R26" s="28"/>
    </row>
    <row r="29" spans="2:18" x14ac:dyDescent="0.3">
      <c r="C29" s="32" t="s">
        <v>125</v>
      </c>
      <c r="D29" s="32"/>
      <c r="E29" s="32"/>
      <c r="F29" s="32"/>
      <c r="G29" s="32"/>
      <c r="H29" s="11"/>
      <c r="I29" s="11"/>
      <c r="J29" s="11"/>
      <c r="K29" s="11"/>
      <c r="L29" s="11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H30" s="11"/>
      <c r="I30" s="11"/>
      <c r="J30" s="11"/>
      <c r="K30" s="20"/>
      <c r="L30" s="20"/>
      <c r="N30" s="11"/>
      <c r="O30" s="11"/>
    </row>
    <row r="31" spans="2:18" x14ac:dyDescent="0.3">
      <c r="B31" t="s">
        <v>8</v>
      </c>
      <c r="C31" s="11">
        <v>0.24502882174506771</v>
      </c>
      <c r="D31" s="11">
        <v>0.5673221838614485</v>
      </c>
      <c r="E31" s="11">
        <v>0.48216060154316087</v>
      </c>
      <c r="F31" s="11">
        <v>0.4817482019727729</v>
      </c>
      <c r="G31" s="11">
        <v>0.42954854236964757</v>
      </c>
      <c r="H31" s="11"/>
      <c r="I31" s="11"/>
      <c r="J31" s="11"/>
      <c r="K31" s="26" t="s">
        <v>97</v>
      </c>
      <c r="L31" s="26">
        <f>MEDIAN(N5:R13)</f>
        <v>5.0856985123845511E-2</v>
      </c>
      <c r="N31" s="11"/>
      <c r="O31" s="11"/>
    </row>
    <row r="32" spans="2:18" x14ac:dyDescent="0.3">
      <c r="B32" t="s">
        <v>9</v>
      </c>
      <c r="C32" s="11">
        <v>0.33434157583629404</v>
      </c>
      <c r="D32" s="11">
        <v>0.42287643506330191</v>
      </c>
      <c r="E32" s="11">
        <v>0.34827509732863504</v>
      </c>
      <c r="F32" s="11">
        <v>0.35834650101847537</v>
      </c>
      <c r="G32" s="11">
        <v>0.3831159717328475</v>
      </c>
      <c r="H32" s="11"/>
      <c r="I32" s="11"/>
      <c r="J32" s="11"/>
      <c r="K32" s="27" t="s">
        <v>100</v>
      </c>
      <c r="L32" s="24">
        <f>MEDIAN(E5:I13)</f>
        <v>0.23199962060033963</v>
      </c>
      <c r="N32" s="11"/>
      <c r="O32" s="11"/>
    </row>
    <row r="33" spans="2:12" x14ac:dyDescent="0.3">
      <c r="B33" t="s">
        <v>10</v>
      </c>
      <c r="C33" s="11">
        <v>0.16489098777044836</v>
      </c>
      <c r="D33" s="11">
        <v>0.10709115981788002</v>
      </c>
      <c r="E33" s="11">
        <v>0.27539786015854478</v>
      </c>
      <c r="F33" s="11">
        <v>0.27768726707808067</v>
      </c>
      <c r="G33" s="11">
        <v>0.19812073175250922</v>
      </c>
      <c r="K33" s="26" t="s">
        <v>98</v>
      </c>
      <c r="L33" s="26"/>
    </row>
    <row r="34" spans="2:12" x14ac:dyDescent="0.3">
      <c r="B34" s="5" t="s">
        <v>11</v>
      </c>
      <c r="C34" s="11">
        <v>0.28437374693892659</v>
      </c>
      <c r="D34" s="11">
        <v>0.48279094405144701</v>
      </c>
      <c r="E34" s="11">
        <v>0.44762594201801914</v>
      </c>
      <c r="F34" s="11">
        <v>0.39122523709016438</v>
      </c>
      <c r="G34" s="11">
        <v>0.28557697237220825</v>
      </c>
      <c r="K34" s="27" t="s">
        <v>99</v>
      </c>
      <c r="L34" s="27"/>
    </row>
    <row r="35" spans="2:12" x14ac:dyDescent="0.3">
      <c r="B35" t="s">
        <v>16</v>
      </c>
      <c r="C35" s="11">
        <v>0.48282557928790248</v>
      </c>
      <c r="D35" s="11">
        <v>0.53215434168262676</v>
      </c>
      <c r="E35" s="11">
        <v>0.35252444903549907</v>
      </c>
      <c r="F35" s="11">
        <v>0.43910982011363014</v>
      </c>
      <c r="G35" s="11">
        <v>0.23779883574386673</v>
      </c>
      <c r="K35" s="26" t="s">
        <v>101</v>
      </c>
      <c r="L35" s="26">
        <f>_xlfn.QUARTILE.INC(N5:R13, 1)</f>
        <v>5.0752872880233939E-2</v>
      </c>
    </row>
    <row r="36" spans="2:12" x14ac:dyDescent="0.3">
      <c r="B36" t="s">
        <v>15</v>
      </c>
      <c r="C36" s="11">
        <v>0.26488139224103674</v>
      </c>
      <c r="D36" s="11">
        <v>0.15132763724773762</v>
      </c>
      <c r="E36" s="11">
        <v>0.35828612357298051</v>
      </c>
      <c r="F36" s="11">
        <v>0.24974805571544409</v>
      </c>
      <c r="G36" s="11">
        <v>0.26622359774038928</v>
      </c>
      <c r="K36" s="27" t="s">
        <v>124</v>
      </c>
      <c r="L36" s="24">
        <f>_xlfn.QUARTILE.INC(E5:I13,3)</f>
        <v>0.23357183811184024</v>
      </c>
    </row>
    <row r="37" spans="2:12" x14ac:dyDescent="0.3">
      <c r="B37" t="s">
        <v>12</v>
      </c>
      <c r="C37" s="11">
        <v>0.33251074079480802</v>
      </c>
      <c r="D37" s="11">
        <v>0.48022782311930207</v>
      </c>
      <c r="E37" s="11">
        <v>0.39016906551299646</v>
      </c>
      <c r="F37" s="11">
        <v>0.46475737875630563</v>
      </c>
      <c r="G37" s="11">
        <v>0.4286267996056991</v>
      </c>
      <c r="K37" s="26" t="s">
        <v>103</v>
      </c>
      <c r="L37" s="26">
        <f>_xlfn.QUARTILE.INC(N5:R13, 3)</f>
        <v>5.5474753202881089E-2</v>
      </c>
    </row>
    <row r="38" spans="2:12" x14ac:dyDescent="0.3">
      <c r="B38" t="s">
        <v>13</v>
      </c>
      <c r="C38" s="11">
        <v>0.22611951034112382</v>
      </c>
      <c r="D38" s="11">
        <v>0.52179244669583158</v>
      </c>
      <c r="E38" s="11">
        <v>0.40920056010866418</v>
      </c>
      <c r="F38" s="11">
        <v>0.48389174444689564</v>
      </c>
      <c r="G38" s="11">
        <v>0.35364418868595482</v>
      </c>
      <c r="K38" s="27" t="s">
        <v>102</v>
      </c>
      <c r="L38" s="24">
        <f>_xlfn.QUARTILE.INC(E5:I13,1)</f>
        <v>0.16226588337539882</v>
      </c>
    </row>
    <row r="39" spans="2:12" x14ac:dyDescent="0.3">
      <c r="B39" t="s">
        <v>17</v>
      </c>
      <c r="C39" s="11">
        <v>0.33080326306519559</v>
      </c>
      <c r="D39" s="11">
        <v>0.32511040295775451</v>
      </c>
      <c r="E39" s="11">
        <v>0.3817425676489869</v>
      </c>
      <c r="F39" s="11">
        <v>0.30173201694056268</v>
      </c>
      <c r="G39" s="11">
        <v>0.33134534131991233</v>
      </c>
    </row>
  </sheetData>
  <mergeCells count="5">
    <mergeCell ref="C3:I3"/>
    <mergeCell ref="L3:R3"/>
    <mergeCell ref="C16:I16"/>
    <mergeCell ref="L16:R16"/>
    <mergeCell ref="C29:G29"/>
  </mergeCells>
  <conditionalFormatting sqref="C31:G39">
    <cfRule type="colorScale" priority="308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293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I26">
    <cfRule type="colorScale" priority="5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1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7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4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0:O32 U7:W9 H15:L15 H29:L29 H30:J32">
    <cfRule type="colorScale" priority="294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92B1-0EF6-4C69-ADD2-27268EA90002}">
  <dimension ref="B3:R46"/>
  <sheetViews>
    <sheetView tabSelected="1" topLeftCell="A3" zoomScale="81" zoomScaleNormal="55" workbookViewId="0">
      <selection activeCell="F11" sqref="F11"/>
    </sheetView>
  </sheetViews>
  <sheetFormatPr defaultRowHeight="14.4" x14ac:dyDescent="0.3"/>
  <cols>
    <col min="2" max="2" width="37.44140625" customWidth="1"/>
    <col min="3" max="3" width="22.21875" customWidth="1"/>
    <col min="4" max="4" width="18.33203125" customWidth="1"/>
    <col min="5" max="5" width="18.109375" customWidth="1"/>
    <col min="6" max="6" width="12.33203125" customWidth="1"/>
    <col min="7" max="7" width="17.88671875" customWidth="1"/>
    <col min="8" max="8" width="17.6640625" customWidth="1"/>
    <col min="9" max="9" width="22.109375" customWidth="1"/>
    <col min="11" max="11" width="35" customWidth="1"/>
    <col min="12" max="12" width="22.109375" customWidth="1"/>
    <col min="13" max="13" width="20.6640625" customWidth="1"/>
    <col min="14" max="14" width="50" customWidth="1"/>
    <col min="15" max="15" width="26.21875" customWidth="1"/>
    <col min="16" max="16" width="17" customWidth="1"/>
    <col min="17" max="17" width="15.44140625" customWidth="1"/>
    <col min="18" max="18" width="15.5546875" customWidth="1"/>
  </cols>
  <sheetData>
    <row r="3" spans="2:18" x14ac:dyDescent="0.3">
      <c r="C3" s="32" t="s">
        <v>36</v>
      </c>
      <c r="D3" s="32"/>
      <c r="E3" s="32"/>
      <c r="F3" s="32"/>
      <c r="G3" s="32"/>
      <c r="H3" s="32"/>
      <c r="I3" s="32"/>
      <c r="L3" s="32" t="s">
        <v>28</v>
      </c>
      <c r="M3" s="32"/>
      <c r="N3" s="32"/>
      <c r="O3" s="32"/>
      <c r="P3" s="32"/>
      <c r="Q3" s="32"/>
      <c r="R3" s="32"/>
    </row>
    <row r="4" spans="2:18" ht="43.2" x14ac:dyDescent="0.3">
      <c r="B4" s="6" t="s">
        <v>7</v>
      </c>
      <c r="C4" s="2" t="s">
        <v>0</v>
      </c>
      <c r="D4" s="2" t="s">
        <v>19</v>
      </c>
      <c r="E4" s="2" t="s">
        <v>21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6" t="s">
        <v>20</v>
      </c>
      <c r="M4" s="12" t="s">
        <v>27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14">
        <v>0.24160000000000001</v>
      </c>
      <c r="E5" s="10">
        <v>2.6884227500464701E-2</v>
      </c>
      <c r="F5" s="10">
        <v>0.23357183811184024</v>
      </c>
      <c r="G5" s="10">
        <v>0.23357183811184024</v>
      </c>
      <c r="H5" s="10">
        <v>0.23357183811184024</v>
      </c>
      <c r="I5" s="10">
        <v>0.23357183811184024</v>
      </c>
      <c r="K5" t="s">
        <v>8</v>
      </c>
      <c r="L5" s="11">
        <v>6.6220000000000001E-2</v>
      </c>
      <c r="M5" s="11">
        <v>0.05</v>
      </c>
      <c r="N5" s="11">
        <v>6.4439726454919202E-2</v>
      </c>
      <c r="O5" s="11">
        <v>5.0752872880233939E-2</v>
      </c>
      <c r="P5" s="11">
        <v>5.0752872880233939E-2</v>
      </c>
      <c r="Q5" s="11">
        <v>5.0752872880233939E-2</v>
      </c>
      <c r="R5" s="11">
        <v>5.0752872880233939E-2</v>
      </c>
    </row>
    <row r="6" spans="2:18" x14ac:dyDescent="0.3">
      <c r="B6" t="s">
        <v>9</v>
      </c>
      <c r="C6" s="4">
        <v>0</v>
      </c>
      <c r="D6" s="14">
        <v>0.24160000000000001</v>
      </c>
      <c r="E6" s="10">
        <v>2.6884227500464708E-2</v>
      </c>
      <c r="F6" s="10">
        <v>0.2365619486565258</v>
      </c>
      <c r="G6" s="10">
        <v>0.20443402981215808</v>
      </c>
      <c r="H6" s="10">
        <v>0.2365619486565258</v>
      </c>
      <c r="I6" s="10">
        <v>0.23199962060033963</v>
      </c>
      <c r="K6" t="s">
        <v>9</v>
      </c>
      <c r="L6" s="11">
        <v>6.6220000000000001E-2</v>
      </c>
      <c r="M6" s="11">
        <v>0.05</v>
      </c>
      <c r="N6" s="11">
        <v>6.443972645491923E-2</v>
      </c>
      <c r="O6" s="11">
        <v>5.0554867759964865E-2</v>
      </c>
      <c r="P6" s="11">
        <v>5.268237854583889E-2</v>
      </c>
      <c r="Q6" s="11">
        <v>5.0554867759964865E-2</v>
      </c>
      <c r="R6" s="11">
        <v>5.0856985123845511E-2</v>
      </c>
    </row>
    <row r="7" spans="2:18" x14ac:dyDescent="0.3">
      <c r="B7" t="s">
        <v>10</v>
      </c>
      <c r="C7" s="4">
        <v>0</v>
      </c>
      <c r="D7" s="14">
        <v>0.24160000000000001</v>
      </c>
      <c r="E7" s="10">
        <v>2.6928672743558035E-2</v>
      </c>
      <c r="F7" s="10">
        <v>0.23201119460359243</v>
      </c>
      <c r="G7" s="10">
        <v>4.4409273142975714E-5</v>
      </c>
      <c r="H7" s="10">
        <v>0.23201119460359243</v>
      </c>
      <c r="I7" s="10">
        <v>7.5149435656129193E-2</v>
      </c>
      <c r="K7" t="s">
        <v>10</v>
      </c>
      <c r="L7" s="11">
        <v>6.6220000000000001E-2</v>
      </c>
      <c r="M7" s="11">
        <v>0.05</v>
      </c>
      <c r="N7" s="11">
        <v>6.443678329092159E-2</v>
      </c>
      <c r="O7" s="11">
        <v>5.0856218693350108E-2</v>
      </c>
      <c r="P7" s="11">
        <v>6.6217059217932472E-2</v>
      </c>
      <c r="Q7" s="11">
        <v>5.0856218693350108E-2</v>
      </c>
      <c r="R7" s="11">
        <v>6.1243604370851128E-2</v>
      </c>
    </row>
    <row r="8" spans="2:18" x14ac:dyDescent="0.3">
      <c r="B8" s="5" t="s">
        <v>11</v>
      </c>
      <c r="C8" s="4">
        <v>0</v>
      </c>
      <c r="D8" s="14">
        <v>0.24160000000000001</v>
      </c>
      <c r="E8" s="10">
        <v>2.6884227500464708E-2</v>
      </c>
      <c r="F8" s="10">
        <v>0.21665989886058135</v>
      </c>
      <c r="G8" s="10">
        <v>0.21665989886058135</v>
      </c>
      <c r="H8" s="10">
        <v>0.21665989886058135</v>
      </c>
      <c r="I8" s="10">
        <v>4.44092731429757E-5</v>
      </c>
      <c r="K8" s="5" t="s">
        <v>11</v>
      </c>
      <c r="L8" s="11">
        <v>6.6220000000000001E-2</v>
      </c>
      <c r="M8" s="11">
        <v>0.05</v>
      </c>
      <c r="N8" s="11">
        <v>6.443972645491923E-2</v>
      </c>
      <c r="O8" s="11">
        <v>5.1872781497452301E-2</v>
      </c>
      <c r="P8" s="11">
        <v>5.1872781497452301E-2</v>
      </c>
      <c r="Q8" s="11">
        <v>5.1872781497452301E-2</v>
      </c>
      <c r="R8" s="11">
        <v>6.6217059217932472E-2</v>
      </c>
    </row>
    <row r="9" spans="2:18" x14ac:dyDescent="0.3">
      <c r="B9" t="s">
        <v>16</v>
      </c>
      <c r="C9" s="4">
        <v>0</v>
      </c>
      <c r="D9" s="14">
        <v>0.24160000000000001</v>
      </c>
      <c r="E9" s="10">
        <v>0.12028625611352195</v>
      </c>
      <c r="F9" s="10">
        <v>0.21505091561999978</v>
      </c>
      <c r="G9" s="10">
        <v>0.21505091561999967</v>
      </c>
      <c r="H9" s="10">
        <v>0.23866966576053728</v>
      </c>
      <c r="I9" s="10">
        <v>0.23199962060033963</v>
      </c>
      <c r="K9" t="s">
        <v>16</v>
      </c>
      <c r="L9" s="11">
        <v>6.6220000000000001E-2</v>
      </c>
      <c r="M9" s="11">
        <v>0.05</v>
      </c>
      <c r="N9" s="11">
        <v>5.8254644120162576E-2</v>
      </c>
      <c r="O9" s="11">
        <v>5.1979328367643615E-2</v>
      </c>
      <c r="P9" s="11">
        <v>5.1979328367643622E-2</v>
      </c>
      <c r="Q9" s="11">
        <v>5.0415294733337224E-2</v>
      </c>
      <c r="R9" s="11">
        <v>5.0856985123845511E-2</v>
      </c>
    </row>
    <row r="10" spans="2:18" ht="57.6" customHeight="1" x14ac:dyDescent="0.3">
      <c r="B10" t="s">
        <v>15</v>
      </c>
      <c r="C10" s="4">
        <v>0</v>
      </c>
      <c r="D10" s="14">
        <v>0.24160000000000001</v>
      </c>
      <c r="E10" s="10">
        <v>7.5689950862653843E-2</v>
      </c>
      <c r="F10" s="10">
        <v>0.23697354019964167</v>
      </c>
      <c r="G10" s="10">
        <v>1.7407642936759671E-2</v>
      </c>
      <c r="H10" s="10">
        <v>0.23217346903668312</v>
      </c>
      <c r="I10" s="10">
        <v>0.23230264158896208</v>
      </c>
      <c r="K10" t="s">
        <v>15</v>
      </c>
      <c r="L10" s="11">
        <v>6.6220000000000001E-2</v>
      </c>
      <c r="M10" s="11">
        <v>0.05</v>
      </c>
      <c r="N10" s="11">
        <v>6.1207811453875063E-2</v>
      </c>
      <c r="O10" s="11">
        <v>5.0527612167979727E-2</v>
      </c>
      <c r="P10" s="11">
        <v>6.5067265884727776E-2</v>
      </c>
      <c r="Q10" s="11">
        <v>5.0845472880390846E-2</v>
      </c>
      <c r="R10" s="11">
        <v>5.0836919073978935E-2</v>
      </c>
    </row>
    <row r="11" spans="2:18" x14ac:dyDescent="0.3">
      <c r="B11" t="s">
        <v>12</v>
      </c>
      <c r="C11" s="4">
        <v>0</v>
      </c>
      <c r="D11" s="14">
        <v>0.30806</v>
      </c>
      <c r="E11" s="10">
        <v>0.115314231747412</v>
      </c>
      <c r="F11" s="10">
        <v>0.28873136264135701</v>
      </c>
      <c r="G11" s="10">
        <v>0.28104006221423405</v>
      </c>
      <c r="H11" s="10">
        <v>0.29941712789764702</v>
      </c>
      <c r="I11" s="10">
        <v>0.28878240990946402</v>
      </c>
      <c r="K11" t="s">
        <v>12</v>
      </c>
      <c r="L11" s="11">
        <v>6.6220000000000001E-2</v>
      </c>
      <c r="M11" s="11">
        <v>4.582E-2</v>
      </c>
      <c r="N11" s="11">
        <v>5.8583891573686403E-2</v>
      </c>
      <c r="O11" s="11">
        <v>4.7100209165889355E-2</v>
      </c>
      <c r="P11" s="11">
        <v>4.7609527080173422E-2</v>
      </c>
      <c r="Q11" s="11">
        <v>4.6392597790617801E-2</v>
      </c>
      <c r="R11" s="11">
        <v>4.7096828815795293E-2</v>
      </c>
    </row>
    <row r="12" spans="2:18" x14ac:dyDescent="0.3">
      <c r="B12" t="s">
        <v>13</v>
      </c>
      <c r="C12" s="4">
        <v>0</v>
      </c>
      <c r="D12" s="14">
        <v>0.30790000000000001</v>
      </c>
      <c r="E12" s="10">
        <v>0.112904725812491</v>
      </c>
      <c r="F12" s="10">
        <v>0.28287827156999445</v>
      </c>
      <c r="G12" s="10">
        <v>0.30232229449368397</v>
      </c>
      <c r="H12" s="10">
        <v>0.29297790000000001</v>
      </c>
      <c r="I12" s="10">
        <v>0.29342910193704885</v>
      </c>
      <c r="K12" t="s">
        <v>13</v>
      </c>
      <c r="L12" s="11">
        <v>6.6220000000000001E-2</v>
      </c>
      <c r="M12" s="11">
        <v>4.5830000000000003E-2</v>
      </c>
      <c r="N12" s="11">
        <v>5.8743449056696845E-2</v>
      </c>
      <c r="O12" s="11">
        <v>4.7487800856634968E-2</v>
      </c>
      <c r="P12" s="11">
        <v>4.6200217658628202E-2</v>
      </c>
      <c r="Q12" s="11">
        <v>4.6819477676157899E-2</v>
      </c>
      <c r="R12" s="11">
        <v>4.6789124869728624E-2</v>
      </c>
    </row>
    <row r="13" spans="2:18" x14ac:dyDescent="0.3">
      <c r="B13" t="s">
        <v>17</v>
      </c>
      <c r="C13" s="4">
        <v>0</v>
      </c>
      <c r="D13" s="14">
        <v>0.30730000000000002</v>
      </c>
      <c r="E13" s="10">
        <v>0.11826294270158344</v>
      </c>
      <c r="F13" s="10">
        <v>0.20182788148195951</v>
      </c>
      <c r="G13" s="10">
        <v>0.15074505679825345</v>
      </c>
      <c r="H13" s="10">
        <v>0.24016189352853679</v>
      </c>
      <c r="I13" s="10">
        <v>0.21455156812744425</v>
      </c>
      <c r="K13" t="s">
        <v>17</v>
      </c>
      <c r="L13" s="11">
        <v>6.6220000000000001E-2</v>
      </c>
      <c r="M13" s="11">
        <v>4.5870000000000001E-2</v>
      </c>
      <c r="N13" s="11">
        <v>5.8388627934301149E-2</v>
      </c>
      <c r="O13" s="11">
        <v>5.2854957688264641E-2</v>
      </c>
      <c r="P13" s="11">
        <v>5.6237662338819661E-2</v>
      </c>
      <c r="Q13" s="11">
        <v>5.0316479410540293E-2</v>
      </c>
      <c r="R13" s="11">
        <v>5.2012395158600642E-2</v>
      </c>
    </row>
    <row r="16" spans="2:18" x14ac:dyDescent="0.3">
      <c r="C16" s="32" t="s">
        <v>35</v>
      </c>
      <c r="D16" s="32"/>
      <c r="E16" s="32"/>
      <c r="F16" s="32"/>
      <c r="G16" s="32"/>
      <c r="H16" s="32"/>
      <c r="I16" s="32"/>
      <c r="L16" s="32" t="s">
        <v>104</v>
      </c>
      <c r="M16" s="32"/>
      <c r="N16" s="32"/>
      <c r="O16" s="32"/>
      <c r="P16" s="32"/>
      <c r="Q16" s="32"/>
      <c r="R16" s="32"/>
    </row>
    <row r="17" spans="2:18" ht="43.2" x14ac:dyDescent="0.3">
      <c r="B17" s="6" t="s">
        <v>7</v>
      </c>
      <c r="C17" s="2" t="s">
        <v>0</v>
      </c>
      <c r="D17" s="2" t="s">
        <v>19</v>
      </c>
      <c r="E17" s="2" t="s">
        <v>21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6" t="s">
        <v>20</v>
      </c>
      <c r="M17" s="12" t="s">
        <v>27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/>
      <c r="D18" s="14"/>
      <c r="E18" s="10"/>
      <c r="F18" s="10"/>
      <c r="G18" s="10"/>
      <c r="H18" s="10"/>
      <c r="I18" s="10"/>
      <c r="K18" t="s">
        <v>8</v>
      </c>
      <c r="L18" s="11"/>
      <c r="M18" s="11"/>
      <c r="N18" s="11"/>
      <c r="O18" s="11"/>
      <c r="P18" s="11"/>
      <c r="Q18" s="11"/>
      <c r="R18" s="11"/>
    </row>
    <row r="19" spans="2:18" x14ac:dyDescent="0.3">
      <c r="B19" t="s">
        <v>9</v>
      </c>
      <c r="C19" s="4"/>
      <c r="D19" s="14"/>
      <c r="E19" s="10"/>
      <c r="F19" s="10"/>
      <c r="G19" s="10"/>
      <c r="H19" s="10"/>
      <c r="I19" s="10"/>
      <c r="K19" t="s">
        <v>9</v>
      </c>
      <c r="L19" s="11"/>
      <c r="M19" s="11"/>
      <c r="N19" s="11"/>
      <c r="O19" s="11"/>
      <c r="P19" s="11"/>
      <c r="Q19" s="11"/>
      <c r="R19" s="11"/>
    </row>
    <row r="20" spans="2:18" x14ac:dyDescent="0.3">
      <c r="B20" t="s">
        <v>10</v>
      </c>
      <c r="C20" s="4"/>
      <c r="D20" s="14"/>
      <c r="E20" s="10"/>
      <c r="F20" s="10"/>
      <c r="G20" s="10"/>
      <c r="H20" s="10"/>
      <c r="I20" s="10"/>
      <c r="K20" t="s">
        <v>10</v>
      </c>
      <c r="L20" s="11"/>
      <c r="M20" s="11"/>
      <c r="N20" s="11"/>
      <c r="O20" s="11"/>
      <c r="P20" s="11"/>
      <c r="Q20" s="11"/>
      <c r="R20" s="11"/>
    </row>
    <row r="21" spans="2:18" x14ac:dyDescent="0.3">
      <c r="B21" s="5" t="s">
        <v>11</v>
      </c>
      <c r="C21" s="4"/>
      <c r="D21" s="14"/>
      <c r="E21" s="10"/>
      <c r="F21" s="10"/>
      <c r="G21" s="10"/>
      <c r="H21" s="10"/>
      <c r="I21" s="10"/>
      <c r="K21" s="5" t="s">
        <v>11</v>
      </c>
      <c r="L21" s="11"/>
      <c r="M21" s="11"/>
      <c r="N21" s="11"/>
      <c r="O21" s="11"/>
      <c r="P21" s="11"/>
      <c r="Q21" s="11"/>
      <c r="R21" s="11"/>
    </row>
    <row r="22" spans="2:18" x14ac:dyDescent="0.3">
      <c r="B22" t="s">
        <v>16</v>
      </c>
      <c r="C22" s="4"/>
      <c r="D22" s="14"/>
      <c r="E22" s="10"/>
      <c r="F22" s="10"/>
      <c r="G22" s="10"/>
      <c r="H22" s="10"/>
      <c r="I22" s="10"/>
      <c r="K22" t="s">
        <v>16</v>
      </c>
      <c r="L22" s="11"/>
      <c r="M22" s="11"/>
      <c r="N22" s="11"/>
      <c r="O22" s="11"/>
      <c r="P22" s="11"/>
      <c r="Q22" s="11"/>
      <c r="R22" s="11"/>
    </row>
    <row r="23" spans="2:18" x14ac:dyDescent="0.3">
      <c r="B23" t="s">
        <v>15</v>
      </c>
      <c r="C23" s="4"/>
      <c r="D23" s="14"/>
      <c r="E23" s="10"/>
      <c r="F23" s="10"/>
      <c r="G23" s="10"/>
      <c r="H23" s="10"/>
      <c r="I23" s="10"/>
      <c r="K23" t="s">
        <v>15</v>
      </c>
      <c r="L23" s="11"/>
      <c r="M23" s="11"/>
      <c r="N23" s="11"/>
      <c r="O23" s="11"/>
      <c r="P23" s="11"/>
      <c r="Q23" s="11"/>
      <c r="R23" s="11"/>
    </row>
    <row r="24" spans="2:18" x14ac:dyDescent="0.3">
      <c r="B24" t="s">
        <v>12</v>
      </c>
      <c r="C24" s="4"/>
      <c r="D24" s="14"/>
      <c r="E24" s="10"/>
      <c r="F24" s="10"/>
      <c r="G24" s="10"/>
      <c r="H24" s="10"/>
      <c r="I24" s="10"/>
      <c r="K24" t="s">
        <v>12</v>
      </c>
      <c r="L24" s="11"/>
      <c r="M24" s="11"/>
      <c r="N24" s="11"/>
      <c r="O24" s="11"/>
      <c r="P24" s="11"/>
      <c r="Q24" s="11"/>
      <c r="R24" s="11"/>
    </row>
    <row r="25" spans="2:18" x14ac:dyDescent="0.3">
      <c r="B25" t="s">
        <v>13</v>
      </c>
      <c r="C25" s="4"/>
      <c r="D25" s="14"/>
      <c r="E25" s="10"/>
      <c r="F25" s="10"/>
      <c r="G25" s="10"/>
      <c r="H25" s="10"/>
      <c r="I25" s="10"/>
      <c r="K25" t="s">
        <v>13</v>
      </c>
      <c r="L25" s="11"/>
      <c r="M25" s="11"/>
      <c r="N25" s="11"/>
      <c r="O25" s="11"/>
      <c r="P25" s="11"/>
      <c r="Q25" s="11"/>
      <c r="R25" s="11"/>
    </row>
    <row r="26" spans="2:18" x14ac:dyDescent="0.3">
      <c r="B26" t="s">
        <v>17</v>
      </c>
      <c r="C26" s="4"/>
      <c r="D26" s="14"/>
      <c r="E26" s="10"/>
      <c r="F26" s="10"/>
      <c r="G26" s="10"/>
      <c r="H26" s="10"/>
      <c r="I26" s="10"/>
      <c r="K26" t="s">
        <v>17</v>
      </c>
      <c r="L26" s="11"/>
      <c r="M26" s="11"/>
      <c r="N26" s="11"/>
      <c r="O26" s="11"/>
      <c r="P26" s="11"/>
      <c r="Q26" s="11"/>
      <c r="R26" s="11"/>
    </row>
    <row r="29" spans="2:18" x14ac:dyDescent="0.3">
      <c r="C29" s="32" t="s">
        <v>125</v>
      </c>
      <c r="D29" s="32"/>
      <c r="E29" s="32"/>
      <c r="F29" s="32"/>
      <c r="G29" s="32"/>
    </row>
    <row r="30" spans="2:18" ht="57.6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K30" s="20"/>
      <c r="L30" s="20"/>
      <c r="N30" s="30" t="s">
        <v>108</v>
      </c>
      <c r="O30" s="31"/>
    </row>
    <row r="31" spans="2:18" x14ac:dyDescent="0.3">
      <c r="B31" t="s">
        <v>8</v>
      </c>
      <c r="C31" s="11">
        <v>0.29511481803970196</v>
      </c>
      <c r="D31" s="11">
        <v>0.5673221838614485</v>
      </c>
      <c r="E31" s="11">
        <v>0.43608482806772803</v>
      </c>
      <c r="F31" s="11">
        <v>0.48174820197277285</v>
      </c>
      <c r="G31" s="11">
        <v>0.43160495319666559</v>
      </c>
      <c r="K31" s="26" t="s">
        <v>122</v>
      </c>
      <c r="L31" s="26">
        <f>MEDIAN(N5:R13)</f>
        <v>5.0856985123845511E-2</v>
      </c>
      <c r="N31" s="26" t="s">
        <v>107</v>
      </c>
      <c r="O31" s="23">
        <f xml:space="preserve"> AVERAGE(E11:I13)</f>
        <v>0.23222312205740733</v>
      </c>
    </row>
    <row r="32" spans="2:18" x14ac:dyDescent="0.3">
      <c r="B32" t="s">
        <v>9</v>
      </c>
      <c r="C32" s="11">
        <v>0.33434157583684432</v>
      </c>
      <c r="D32" s="11">
        <v>0.42038500842005599</v>
      </c>
      <c r="E32" s="11">
        <v>0.39815439725111024</v>
      </c>
      <c r="F32" s="11">
        <v>0.35289466035706363</v>
      </c>
      <c r="G32" s="11">
        <v>0.35947996010396011</v>
      </c>
      <c r="K32" s="27" t="s">
        <v>100</v>
      </c>
      <c r="L32" s="24">
        <f>MEDIAN(E5:I13)</f>
        <v>0.23199962060033963</v>
      </c>
      <c r="N32" s="27" t="s">
        <v>105</v>
      </c>
      <c r="O32" s="24">
        <f>AVERAGE(E5:I7)</f>
        <v>0.1642505508035903</v>
      </c>
    </row>
    <row r="33" spans="2:15" x14ac:dyDescent="0.3">
      <c r="B33" t="s">
        <v>10</v>
      </c>
      <c r="C33" s="11">
        <v>0.39863654549589811</v>
      </c>
      <c r="D33" s="11">
        <v>0.12280357077743775</v>
      </c>
      <c r="E33" s="11">
        <v>0.30052691892705874</v>
      </c>
      <c r="F33" s="11">
        <v>0.19451636117192439</v>
      </c>
      <c r="G33" s="11">
        <v>0.22167812918187157</v>
      </c>
      <c r="K33" s="26" t="s">
        <v>123</v>
      </c>
      <c r="L33" s="26"/>
      <c r="N33" s="26" t="s">
        <v>106</v>
      </c>
      <c r="O33" s="23">
        <f>AVERAGE(E8:I10)</f>
        <v>0.16616753011296337</v>
      </c>
    </row>
    <row r="34" spans="2:15" x14ac:dyDescent="0.3">
      <c r="B34" s="5" t="s">
        <v>11</v>
      </c>
      <c r="C34" s="11">
        <v>0.36833797425942005</v>
      </c>
      <c r="D34" s="11">
        <v>0.53507483444359594</v>
      </c>
      <c r="E34" s="11">
        <v>0.45145849754950768</v>
      </c>
      <c r="F34" s="11">
        <v>0.49146169739886225</v>
      </c>
      <c r="G34" s="11">
        <v>0.28789477562667198</v>
      </c>
      <c r="K34" s="27" t="s">
        <v>99</v>
      </c>
      <c r="L34" s="27"/>
      <c r="N34" s="27" t="s">
        <v>109</v>
      </c>
      <c r="O34" s="24">
        <f>AVERAGE(E5:I5, E8:I8,E11:I11)</f>
        <v>0.19409100718088615</v>
      </c>
    </row>
    <row r="35" spans="2:15" x14ac:dyDescent="0.3">
      <c r="B35" t="s">
        <v>16</v>
      </c>
      <c r="C35" s="11">
        <v>0.25971823134261557</v>
      </c>
      <c r="D35" s="11">
        <v>0.53215434168262699</v>
      </c>
      <c r="E35" s="11">
        <v>0.3630783337646179</v>
      </c>
      <c r="F35" s="11">
        <v>0.33129649193954064</v>
      </c>
      <c r="G35" s="11">
        <v>0.31422032932819222</v>
      </c>
      <c r="K35" s="26" t="s">
        <v>101</v>
      </c>
      <c r="L35" s="26">
        <f>_xlfn.QUARTILE.INC(N5:R13, 1)</f>
        <v>5.0554867759964865E-2</v>
      </c>
      <c r="N35" s="26" t="s">
        <v>110</v>
      </c>
      <c r="O35" s="23">
        <f t="shared" ref="O35:O36" si="0">AVERAGE(E6:I6, E9:I9,E12:I12)</f>
        <v>0.21613409618357535</v>
      </c>
    </row>
    <row r="36" spans="2:15" x14ac:dyDescent="0.3">
      <c r="B36" t="s">
        <v>15</v>
      </c>
      <c r="C36" s="11">
        <v>0.26488139224125212</v>
      </c>
      <c r="D36" s="11">
        <v>0.20034915692254407</v>
      </c>
      <c r="E36" s="11">
        <v>0.34130867215138261</v>
      </c>
      <c r="F36" s="11">
        <v>0.21686917967540387</v>
      </c>
      <c r="G36" s="11">
        <v>0.25225381069291414</v>
      </c>
      <c r="K36" s="27" t="s">
        <v>124</v>
      </c>
      <c r="L36" s="24">
        <f>_xlfn.QUARTILE.INC(E5:I13,3)</f>
        <v>0.2365619486565258</v>
      </c>
      <c r="N36" s="27" t="s">
        <v>111</v>
      </c>
      <c r="O36" s="24">
        <f t="shared" si="0"/>
        <v>0.15241609960949953</v>
      </c>
    </row>
    <row r="37" spans="2:15" x14ac:dyDescent="0.3">
      <c r="B37" t="s">
        <v>12</v>
      </c>
      <c r="C37" s="11">
        <v>0.33314939908388003</v>
      </c>
      <c r="D37" s="11">
        <v>0.48985943526779518</v>
      </c>
      <c r="E37" s="11">
        <v>0.39556659782108883</v>
      </c>
      <c r="F37" s="11">
        <v>0.45756741092568204</v>
      </c>
      <c r="G37" s="11">
        <v>0.38437351662957764</v>
      </c>
      <c r="K37" s="26" t="s">
        <v>103</v>
      </c>
      <c r="L37" s="26">
        <f>_xlfn.QUARTILE.INC(N5:R13, 3)</f>
        <v>5.8388627934301149E-2</v>
      </c>
      <c r="N37" s="26" t="s">
        <v>112</v>
      </c>
      <c r="O37" s="26">
        <f>AVERAGE(N5:R5,N8:R8,N11-R11)</f>
        <v>5.138303735445042E-2</v>
      </c>
    </row>
    <row r="38" spans="2:15" x14ac:dyDescent="0.3">
      <c r="B38" t="s">
        <v>13</v>
      </c>
      <c r="C38" s="11">
        <v>0.3126600898823641</v>
      </c>
      <c r="D38" s="11">
        <v>0.52485627505367694</v>
      </c>
      <c r="E38" s="11">
        <v>0.39391470218542424</v>
      </c>
      <c r="F38" s="11">
        <v>0.46966733243550152</v>
      </c>
      <c r="G38" s="11">
        <v>0.37393756395474231</v>
      </c>
      <c r="K38" s="27" t="s">
        <v>102</v>
      </c>
      <c r="L38" s="24">
        <f>_xlfn.QUARTILE.INC(E5:I13,1)</f>
        <v>0.11826294270158344</v>
      </c>
      <c r="N38" s="27" t="s">
        <v>113</v>
      </c>
      <c r="O38" s="27">
        <f t="shared" ref="O38" si="1">AVERAGE(N6:R6,N9:R9,N12-R12)</f>
        <v>4.9502611867648552E-2</v>
      </c>
    </row>
    <row r="39" spans="2:15" x14ac:dyDescent="0.3">
      <c r="B39" t="s">
        <v>17</v>
      </c>
      <c r="C39" s="11">
        <v>0.39390929288917609</v>
      </c>
      <c r="D39" s="11">
        <v>0.33666840383304952</v>
      </c>
      <c r="E39" s="11">
        <v>0.37705677393245896</v>
      </c>
      <c r="F39" s="11">
        <v>0.31262447652161884</v>
      </c>
      <c r="G39" s="11">
        <v>0.28520701105173391</v>
      </c>
      <c r="N39" s="26" t="s">
        <v>114</v>
      </c>
      <c r="O39" s="26">
        <f>AVERAGE(N7:R7,N10:R10,N13:R13)</f>
        <v>5.6127005883858945E-2</v>
      </c>
    </row>
    <row r="40" spans="2:15" x14ac:dyDescent="0.3">
      <c r="N40" s="27" t="s">
        <v>115</v>
      </c>
      <c r="O40" s="24">
        <f>AVERAGE(E5:E13)</f>
        <v>7.2226606942512706E-2</v>
      </c>
    </row>
    <row r="41" spans="2:15" x14ac:dyDescent="0.3">
      <c r="N41" s="26" t="s">
        <v>116</v>
      </c>
      <c r="O41" s="23">
        <f>AVERAGE(F5:F13)</f>
        <v>0.23825187241616583</v>
      </c>
    </row>
    <row r="42" spans="2:15" x14ac:dyDescent="0.3">
      <c r="N42" s="27" t="s">
        <v>117</v>
      </c>
      <c r="O42" s="24">
        <f>AVERAGE(G5:G13)</f>
        <v>0.18014179423562815</v>
      </c>
    </row>
    <row r="43" spans="2:15" x14ac:dyDescent="0.3">
      <c r="N43" s="26" t="s">
        <v>118</v>
      </c>
      <c r="O43" s="23">
        <f>AVERAGE(H5:H13)</f>
        <v>0.24691165960621606</v>
      </c>
    </row>
    <row r="44" spans="2:15" x14ac:dyDescent="0.3">
      <c r="N44" s="27" t="s">
        <v>119</v>
      </c>
      <c r="O44" s="24">
        <f>AVERAGE(I5:I13)</f>
        <v>0.20020340508941231</v>
      </c>
    </row>
    <row r="45" spans="2:15" x14ac:dyDescent="0.3">
      <c r="N45" s="26" t="s">
        <v>120</v>
      </c>
      <c r="O45" s="23">
        <f>AVERAGE(O41:O42)</f>
        <v>0.209196833325897</v>
      </c>
    </row>
    <row r="46" spans="2:15" x14ac:dyDescent="0.3">
      <c r="N46" s="27" t="s">
        <v>121</v>
      </c>
      <c r="O46" s="24">
        <f>AVERAGE(O43:O44)</f>
        <v>0.22355753234781417</v>
      </c>
    </row>
  </sheetData>
  <mergeCells count="6">
    <mergeCell ref="N30:O30"/>
    <mergeCell ref="C3:I3"/>
    <mergeCell ref="C16:I16"/>
    <mergeCell ref="L16:R16"/>
    <mergeCell ref="L3:R3"/>
    <mergeCell ref="C29:G29"/>
  </mergeCells>
  <conditionalFormatting sqref="C31:G39">
    <cfRule type="colorScale" priority="329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319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I26">
    <cfRule type="colorScale" priority="4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324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5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1:N46">
    <cfRule type="colorScale" priority="1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476F-6229-4C80-9ADB-33F78CAFD9E8}">
  <dimension ref="B2:Y73"/>
  <sheetViews>
    <sheetView zoomScale="42" workbookViewId="0">
      <selection activeCell="H30" sqref="H30"/>
    </sheetView>
  </sheetViews>
  <sheetFormatPr defaultRowHeight="14.4" x14ac:dyDescent="0.3"/>
  <cols>
    <col min="2" max="2" width="47.33203125" customWidth="1"/>
    <col min="3" max="3" width="24.21875" customWidth="1"/>
    <col min="4" max="4" width="26.33203125" customWidth="1"/>
    <col min="5" max="5" width="29.21875" customWidth="1"/>
    <col min="6" max="6" width="34.21875" customWidth="1"/>
    <col min="7" max="7" width="20.33203125" customWidth="1"/>
    <col min="8" max="8" width="21.44140625" customWidth="1"/>
    <col min="9" max="10" width="24.21875" customWidth="1"/>
    <col min="11" max="11" width="34.44140625" customWidth="1"/>
    <col min="12" max="12" width="21" customWidth="1"/>
    <col min="13" max="13" width="23.109375" customWidth="1"/>
    <col min="14" max="14" width="27.33203125" customWidth="1"/>
    <col min="15" max="15" width="28.33203125" customWidth="1"/>
    <col min="16" max="16" width="18.88671875" customWidth="1"/>
    <col min="17" max="17" width="18.21875" customWidth="1"/>
    <col min="18" max="18" width="17.6640625" customWidth="1"/>
    <col min="19" max="19" width="18.21875" customWidth="1"/>
    <col min="20" max="20" width="15.33203125" customWidth="1"/>
    <col min="21" max="21" width="20.77734375" customWidth="1"/>
    <col min="22" max="22" width="17.88671875" customWidth="1"/>
    <col min="23" max="23" width="20" customWidth="1"/>
  </cols>
  <sheetData>
    <row r="2" spans="2:25" x14ac:dyDescent="0.3">
      <c r="L2" t="s">
        <v>95</v>
      </c>
    </row>
    <row r="3" spans="2:25" x14ac:dyDescent="0.3">
      <c r="C3" s="32" t="s">
        <v>35</v>
      </c>
      <c r="D3" s="32"/>
      <c r="E3" s="32"/>
      <c r="F3" s="32"/>
      <c r="G3" s="32"/>
      <c r="H3" s="32"/>
      <c r="I3" s="32"/>
      <c r="L3" s="32" t="s">
        <v>34</v>
      </c>
      <c r="M3" s="32"/>
      <c r="N3" s="32"/>
      <c r="O3" s="32"/>
      <c r="P3" s="32"/>
      <c r="Q3" s="32"/>
      <c r="R3" s="32"/>
    </row>
    <row r="4" spans="2:25" ht="36" customHeight="1" x14ac:dyDescent="0.3">
      <c r="B4" s="6" t="s">
        <v>18</v>
      </c>
      <c r="C4" s="2" t="s">
        <v>0</v>
      </c>
      <c r="D4" s="2" t="s">
        <v>19</v>
      </c>
      <c r="E4" s="9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6</v>
      </c>
      <c r="L4" s="12" t="s">
        <v>94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25" x14ac:dyDescent="0.3">
      <c r="B5" t="s">
        <v>8</v>
      </c>
      <c r="C5" s="4">
        <v>0</v>
      </c>
      <c r="D5" s="8">
        <v>0.25</v>
      </c>
      <c r="E5" s="10">
        <v>4.0931020302050758E-3</v>
      </c>
      <c r="F5" s="10">
        <v>0.21518202747501847</v>
      </c>
      <c r="G5" s="10">
        <v>0.1780982051538742</v>
      </c>
      <c r="H5" s="10">
        <v>0.21518202747501847</v>
      </c>
      <c r="I5" s="10">
        <v>0.18653426366755421</v>
      </c>
      <c r="K5" t="s">
        <v>8</v>
      </c>
      <c r="L5" s="11">
        <v>4.3589999999999997E-2</v>
      </c>
      <c r="M5" s="11">
        <v>3.2689999999999997E-2</v>
      </c>
      <c r="N5" s="11">
        <v>4.3411581682503357E-2</v>
      </c>
      <c r="O5" s="11">
        <v>3.4210215422363945E-2</v>
      </c>
      <c r="P5" s="11">
        <v>3.5826699237342621E-2</v>
      </c>
      <c r="Q5" s="11">
        <v>3.4210215422363945E-2</v>
      </c>
      <c r="R5" s="11">
        <v>3.5458971446731311E-2</v>
      </c>
    </row>
    <row r="6" spans="2:25" x14ac:dyDescent="0.3">
      <c r="B6" t="s">
        <v>9</v>
      </c>
      <c r="C6" s="4">
        <v>0</v>
      </c>
      <c r="D6" s="8">
        <v>0.25</v>
      </c>
      <c r="E6" s="10">
        <v>0.1237715834729719</v>
      </c>
      <c r="F6" s="10">
        <v>0.15002861410029578</v>
      </c>
      <c r="G6" s="10">
        <v>0.19646510584094645</v>
      </c>
      <c r="H6" s="10">
        <v>0.15002861410029578</v>
      </c>
      <c r="I6" s="10">
        <v>0.19646510584094645</v>
      </c>
      <c r="K6" t="s">
        <v>9</v>
      </c>
      <c r="L6" s="11">
        <v>4.3589999999999997E-2</v>
      </c>
      <c r="M6" s="11">
        <v>3.2689999999999997E-2</v>
      </c>
      <c r="N6" s="11">
        <v>3.8194796676413151E-2</v>
      </c>
      <c r="O6" s="11">
        <v>3.7050252711368102E-2</v>
      </c>
      <c r="P6" s="11">
        <v>3.5026086036393143E-2</v>
      </c>
      <c r="Q6" s="11">
        <v>3.7050252711368102E-2</v>
      </c>
      <c r="R6" s="11">
        <v>3.5026086036393143E-2</v>
      </c>
    </row>
    <row r="7" spans="2:25" x14ac:dyDescent="0.3">
      <c r="B7" t="s">
        <v>10</v>
      </c>
      <c r="C7" s="4">
        <v>0</v>
      </c>
      <c r="D7" s="8">
        <v>0.25</v>
      </c>
      <c r="E7" s="10">
        <v>0.14787861903636756</v>
      </c>
      <c r="F7" s="10">
        <v>0.18777410176644416</v>
      </c>
      <c r="G7" s="10">
        <v>7.339458185370773E-2</v>
      </c>
      <c r="H7" s="10">
        <v>0.18077839721989342</v>
      </c>
      <c r="I7" s="10">
        <v>0.11298186185386228</v>
      </c>
      <c r="K7" t="s">
        <v>10</v>
      </c>
      <c r="L7" s="11">
        <v>4.3589999999999997E-2</v>
      </c>
      <c r="M7" s="11">
        <v>3.2689999999999997E-2</v>
      </c>
      <c r="N7" s="11">
        <v>3.7143970996204735E-2</v>
      </c>
      <c r="O7" s="11">
        <v>3.5404926904000697E-2</v>
      </c>
      <c r="P7" s="11">
        <v>4.0390730176996875E-2</v>
      </c>
      <c r="Q7" s="11">
        <v>3.5709869665184843E-2</v>
      </c>
      <c r="R7" s="11">
        <v>3.8665120641790139E-2</v>
      </c>
    </row>
    <row r="8" spans="2:25" ht="21" customHeight="1" x14ac:dyDescent="0.3">
      <c r="B8" s="5" t="s">
        <v>11</v>
      </c>
      <c r="C8" s="4">
        <v>0</v>
      </c>
      <c r="D8" s="8">
        <v>0.25</v>
      </c>
      <c r="E8" s="10">
        <v>5.8731481013015951E-2</v>
      </c>
      <c r="F8" s="10">
        <v>0.142196432645598</v>
      </c>
      <c r="G8" s="10">
        <v>0.20177854484140634</v>
      </c>
      <c r="H8" s="10">
        <v>0.20177854484140634</v>
      </c>
      <c r="I8" s="10">
        <v>0.20177854484140634</v>
      </c>
      <c r="K8" s="5" t="s">
        <v>11</v>
      </c>
      <c r="L8" s="11">
        <v>4.3589999999999997E-2</v>
      </c>
      <c r="M8" s="11">
        <v>3.2689999999999997E-2</v>
      </c>
      <c r="N8" s="11">
        <v>4.1029894742642632E-2</v>
      </c>
      <c r="O8" s="11">
        <v>3.7391657500978379E-2</v>
      </c>
      <c r="P8" s="11">
        <v>3.4794473230363096E-2</v>
      </c>
      <c r="Q8" s="11">
        <v>3.4794473230363096E-2</v>
      </c>
      <c r="R8" s="11">
        <v>3.4794473230363096E-2</v>
      </c>
    </row>
    <row r="9" spans="2:25" x14ac:dyDescent="0.3">
      <c r="B9" t="s">
        <v>16</v>
      </c>
      <c r="C9" s="4">
        <v>0</v>
      </c>
      <c r="D9" s="8">
        <v>0.25</v>
      </c>
      <c r="E9" s="10">
        <v>5.2400138752816017E-2</v>
      </c>
      <c r="F9" s="10">
        <v>0.15002861410029578</v>
      </c>
      <c r="G9" s="10">
        <v>0.15002861410029578</v>
      </c>
      <c r="H9" s="10">
        <v>0.15002861410029578</v>
      </c>
      <c r="I9" s="10">
        <v>0.15002861410029578</v>
      </c>
      <c r="K9" t="s">
        <v>16</v>
      </c>
      <c r="L9" s="11">
        <v>4.3589999999999997E-2</v>
      </c>
      <c r="M9" s="11">
        <v>3.2689999999999997E-2</v>
      </c>
      <c r="N9" s="11">
        <v>4.1305877951764748E-2</v>
      </c>
      <c r="O9" s="11">
        <v>3.7050252711368102E-2</v>
      </c>
      <c r="P9" s="11">
        <v>3.7050252711368102E-2</v>
      </c>
      <c r="Q9" s="11">
        <v>3.7050252711368102E-2</v>
      </c>
      <c r="R9" s="11">
        <v>3.7050252711368102E-2</v>
      </c>
    </row>
    <row r="10" spans="2:25" x14ac:dyDescent="0.3">
      <c r="B10" t="s">
        <v>15</v>
      </c>
      <c r="C10" s="4">
        <v>0</v>
      </c>
      <c r="D10" s="8">
        <v>0.25</v>
      </c>
      <c r="E10" s="10">
        <v>8.172299951510309E-2</v>
      </c>
      <c r="F10" s="10">
        <v>0.10660945165429592</v>
      </c>
      <c r="G10" s="10">
        <v>0.12115303366782759</v>
      </c>
      <c r="H10" s="10">
        <v>0.22757081301818072</v>
      </c>
      <c r="I10" s="10">
        <v>0.18077839721989342</v>
      </c>
      <c r="K10" t="s">
        <v>14</v>
      </c>
      <c r="L10" s="11">
        <v>4.3589999999999997E-2</v>
      </c>
      <c r="M10" s="11">
        <v>3.2689999999999997E-2</v>
      </c>
      <c r="N10" s="11">
        <v>4.1157285887674609E-2</v>
      </c>
      <c r="O10" s="11">
        <v>3.7372833452288541E-2</v>
      </c>
      <c r="P10" s="11">
        <v>3.5615898270967318E-2</v>
      </c>
      <c r="Q10" s="11">
        <v>3.4214096947077881E-2</v>
      </c>
      <c r="R10" s="11">
        <v>3.4606923473213709E-2</v>
      </c>
    </row>
    <row r="11" spans="2:25" x14ac:dyDescent="0.3">
      <c r="B11" t="s">
        <v>12</v>
      </c>
      <c r="C11" s="4">
        <v>0</v>
      </c>
      <c r="D11" s="8">
        <v>0.32140000000000002</v>
      </c>
      <c r="E11" s="10">
        <v>0.17554437463133066</v>
      </c>
      <c r="F11" s="10">
        <v>0.24559004988613076</v>
      </c>
      <c r="G11" s="10">
        <v>0.27507364202112383</v>
      </c>
      <c r="H11" s="10">
        <v>0.27553248782458184</v>
      </c>
      <c r="I11" s="10">
        <v>0.26579098526773381</v>
      </c>
      <c r="K11" t="s">
        <v>12</v>
      </c>
      <c r="L11" s="11">
        <v>4.3589999999999997E-2</v>
      </c>
      <c r="M11" s="11">
        <v>2.9579999999999999E-2</v>
      </c>
      <c r="N11" s="11">
        <v>3.5938020709820294E-2</v>
      </c>
      <c r="O11" s="11">
        <v>3.2884729725463559E-2</v>
      </c>
      <c r="P11" s="11">
        <v>3.1599539944299211E-2</v>
      </c>
      <c r="Q11" s="11">
        <v>3.1579538855726473E-2</v>
      </c>
      <c r="R11" s="11">
        <v>3.200417095217948E-2</v>
      </c>
    </row>
    <row r="12" spans="2:25" x14ac:dyDescent="0.3">
      <c r="B12" t="s">
        <v>13</v>
      </c>
      <c r="C12" s="4">
        <v>0</v>
      </c>
      <c r="D12" s="8">
        <v>0.32140000000000002</v>
      </c>
      <c r="E12" s="10">
        <v>0.18534893078858772</v>
      </c>
      <c r="F12" s="10">
        <v>0.23400471607114925</v>
      </c>
      <c r="G12" s="10">
        <v>0.26419385623268132</v>
      </c>
      <c r="H12" s="10">
        <v>0.23995855093039287</v>
      </c>
      <c r="I12" s="10">
        <v>0.26654563628208616</v>
      </c>
      <c r="K12" t="s">
        <v>13</v>
      </c>
      <c r="L12" s="11">
        <v>4.3589999999999997E-2</v>
      </c>
      <c r="M12" s="11">
        <v>2.9579999999999999E-2</v>
      </c>
      <c r="N12" s="11">
        <v>3.5510640106925458E-2</v>
      </c>
      <c r="O12" s="11">
        <v>3.3389734426458602E-2</v>
      </c>
      <c r="P12" s="11">
        <v>3.2073789806817417E-2</v>
      </c>
      <c r="Q12" s="11">
        <v>3.3130206764944173E-2</v>
      </c>
      <c r="R12" s="11">
        <v>3.1971275714463863E-2</v>
      </c>
    </row>
    <row r="13" spans="2:25" x14ac:dyDescent="0.3">
      <c r="B13" t="s">
        <v>17</v>
      </c>
      <c r="C13" s="4">
        <v>0</v>
      </c>
      <c r="D13" s="8">
        <v>0.32117000000000001</v>
      </c>
      <c r="E13" s="10">
        <v>0.18239353008237513</v>
      </c>
      <c r="F13" s="10">
        <v>0.27624957052966981</v>
      </c>
      <c r="G13" s="10">
        <v>0.18468631108629074</v>
      </c>
      <c r="H13" s="10">
        <v>0.27622990441732087</v>
      </c>
      <c r="I13" s="10">
        <v>0.21250935802628423</v>
      </c>
      <c r="K13" t="s">
        <v>17</v>
      </c>
      <c r="L13" s="11">
        <v>4.3589999999999997E-2</v>
      </c>
      <c r="M13" s="11">
        <v>2.9590000000000002E-2</v>
      </c>
      <c r="N13" s="11">
        <v>3.5639466023709265E-2</v>
      </c>
      <c r="O13" s="11">
        <v>3.1548281220611693E-2</v>
      </c>
      <c r="P13" s="11">
        <v>3.5539523699748582E-2</v>
      </c>
      <c r="Q13" s="11">
        <v>3.1549138466448981E-2</v>
      </c>
      <c r="R13" s="11">
        <v>3.4326717083634266E-2</v>
      </c>
    </row>
    <row r="14" spans="2:25" x14ac:dyDescent="0.3">
      <c r="X14" s="11"/>
      <c r="Y14" s="11"/>
    </row>
    <row r="15" spans="2:25" x14ac:dyDescent="0.3">
      <c r="X15" s="11"/>
      <c r="Y15" s="11"/>
    </row>
    <row r="16" spans="2:25" x14ac:dyDescent="0.3">
      <c r="C16" s="32" t="s">
        <v>36</v>
      </c>
      <c r="D16" s="32"/>
      <c r="E16" s="32"/>
      <c r="F16" s="32"/>
      <c r="G16" s="32"/>
      <c r="H16" s="32"/>
      <c r="I16" s="32"/>
      <c r="L16" s="32" t="s">
        <v>26</v>
      </c>
      <c r="M16" s="32"/>
      <c r="N16" s="32"/>
      <c r="O16" s="32"/>
      <c r="P16" s="32"/>
      <c r="Q16" s="32"/>
      <c r="R16" s="32"/>
    </row>
    <row r="17" spans="2:18" ht="43.2" x14ac:dyDescent="0.3">
      <c r="B17" s="6" t="s">
        <v>18</v>
      </c>
      <c r="C17" s="2" t="s">
        <v>96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6</v>
      </c>
      <c r="L17" s="12" t="s">
        <v>24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>
        <v>0.2281</v>
      </c>
      <c r="E18" s="10">
        <v>4.2767492330786361E-5</v>
      </c>
      <c r="F18" s="10">
        <v>0.1561637461901153</v>
      </c>
      <c r="G18" s="10">
        <v>0.14744826499772512</v>
      </c>
      <c r="H18" s="10">
        <v>0.1561637461901153</v>
      </c>
      <c r="I18" s="10">
        <v>0.14963098409226339</v>
      </c>
      <c r="K18" t="s">
        <v>8</v>
      </c>
      <c r="L18" s="11">
        <v>5.8349999999999999E-2</v>
      </c>
      <c r="M18" s="11">
        <v>4.5039999999999997E-2</v>
      </c>
      <c r="N18" s="16">
        <v>5.8347504516822496E-2</v>
      </c>
      <c r="O18" s="11">
        <v>4.9237845409806774E-2</v>
      </c>
      <c r="P18" s="11">
        <v>4.9746393737382738E-2</v>
      </c>
      <c r="Q18" s="11">
        <v>4.9237845409806774E-2</v>
      </c>
      <c r="R18" s="11">
        <v>5.042884788450399E-2</v>
      </c>
    </row>
    <row r="19" spans="2:18" x14ac:dyDescent="0.3">
      <c r="B19" t="s">
        <v>9</v>
      </c>
      <c r="C19" s="4">
        <v>0</v>
      </c>
      <c r="D19" s="8">
        <v>0.2281</v>
      </c>
      <c r="E19" s="10">
        <v>0.12657914976050344</v>
      </c>
      <c r="F19" s="10">
        <v>0.15778785713138921</v>
      </c>
      <c r="G19" s="10">
        <v>0.19991644256986896</v>
      </c>
      <c r="H19" s="10">
        <v>0.15778785713138921</v>
      </c>
      <c r="I19" s="10">
        <v>0.19991644256986896</v>
      </c>
      <c r="K19" t="s">
        <v>9</v>
      </c>
      <c r="L19" s="11">
        <v>5.8349999999999999E-2</v>
      </c>
      <c r="M19" s="11">
        <v>4.5039999999999997E-2</v>
      </c>
      <c r="N19" s="16">
        <v>5.0964106611474623E-2</v>
      </c>
      <c r="O19" s="11">
        <v>4.9143078536383437E-2</v>
      </c>
      <c r="P19" s="11">
        <v>4.6684875576048147E-2</v>
      </c>
      <c r="Q19" s="11">
        <v>4.9143078536383437E-2</v>
      </c>
      <c r="R19" s="11">
        <v>4.6684875576048147E-2</v>
      </c>
    </row>
    <row r="20" spans="2:18" x14ac:dyDescent="0.3">
      <c r="B20" t="s">
        <v>10</v>
      </c>
      <c r="C20" s="4">
        <v>0</v>
      </c>
      <c r="D20" s="8">
        <v>0.2281</v>
      </c>
      <c r="E20" s="10">
        <v>0.14839913626258594</v>
      </c>
      <c r="F20" s="10">
        <v>0.11778917997010852</v>
      </c>
      <c r="G20" s="10">
        <v>8.3913102530610129E-2</v>
      </c>
      <c r="H20" s="10">
        <v>0.11347602676798751</v>
      </c>
      <c r="I20" s="10">
        <v>9.5620746977602811E-2</v>
      </c>
      <c r="K20" t="s">
        <v>10</v>
      </c>
      <c r="L20" s="11">
        <v>5.8349999999999999E-2</v>
      </c>
      <c r="M20" s="11">
        <v>4.5039999999999997E-2</v>
      </c>
      <c r="N20" s="16">
        <v>4.9690910399078109E-2</v>
      </c>
      <c r="O20" s="11">
        <v>5.1477001348744167E-2</v>
      </c>
      <c r="P20" s="11">
        <v>5.3453670467338898E-2</v>
      </c>
      <c r="Q20" s="11">
        <v>5.1728673838087928E-2</v>
      </c>
      <c r="R20" s="11">
        <v>5.3708536711006762E-2</v>
      </c>
    </row>
    <row r="21" spans="2:18" x14ac:dyDescent="0.3">
      <c r="B21" s="5" t="s">
        <v>11</v>
      </c>
      <c r="C21" s="4">
        <v>0</v>
      </c>
      <c r="D21" s="8">
        <v>0.2281</v>
      </c>
      <c r="E21" s="10">
        <v>6.9721377142184404E-2</v>
      </c>
      <c r="F21" s="10">
        <v>0.13561579525788958</v>
      </c>
      <c r="G21" s="10">
        <v>0.14961591860793755</v>
      </c>
      <c r="H21" s="10">
        <v>0.14961591860793755</v>
      </c>
      <c r="I21" s="10">
        <v>0.14961591860793755</v>
      </c>
      <c r="K21" s="5" t="s">
        <v>11</v>
      </c>
      <c r="L21" s="11">
        <v>5.8349999999999999E-2</v>
      </c>
      <c r="M21" s="11">
        <v>4.5039999999999997E-2</v>
      </c>
      <c r="N21" s="16">
        <v>5.4281757643753537E-2</v>
      </c>
      <c r="O21" s="11">
        <v>5.0436818346702141E-2</v>
      </c>
      <c r="P21" s="11">
        <v>4.9619911149226842E-2</v>
      </c>
      <c r="Q21" s="11">
        <v>4.9619911149226842E-2</v>
      </c>
      <c r="R21" s="11">
        <v>4.5989854705671955E-2</v>
      </c>
    </row>
    <row r="22" spans="2:18" x14ac:dyDescent="0.3">
      <c r="B22" t="s">
        <v>16</v>
      </c>
      <c r="C22" s="4">
        <v>0</v>
      </c>
      <c r="D22" s="8">
        <v>0.2281</v>
      </c>
      <c r="E22" s="10">
        <v>5.7452064670802883E-2</v>
      </c>
      <c r="F22" s="10">
        <v>0.14730979389801369</v>
      </c>
      <c r="G22" s="10">
        <v>0.14730979389801369</v>
      </c>
      <c r="H22" s="10">
        <v>0.15778785713138921</v>
      </c>
      <c r="I22" s="10">
        <v>0.15778785713138921</v>
      </c>
      <c r="K22" t="s">
        <v>16</v>
      </c>
      <c r="L22" s="11">
        <v>5.8349999999999999E-2</v>
      </c>
      <c r="M22" s="11">
        <v>4.5039999999999997E-2</v>
      </c>
      <c r="N22" s="16">
        <v>5.4997672026458652E-2</v>
      </c>
      <c r="O22" s="11">
        <v>4.9754473526050898E-2</v>
      </c>
      <c r="P22" s="11">
        <v>4.9754473526050898E-2</v>
      </c>
      <c r="Q22" s="11">
        <v>4.9143078536383437E-2</v>
      </c>
      <c r="R22" s="11">
        <v>4.9754473526050898E-2</v>
      </c>
    </row>
    <row r="23" spans="2:18" x14ac:dyDescent="0.3">
      <c r="B23" t="s">
        <v>15</v>
      </c>
      <c r="C23" s="4">
        <v>0</v>
      </c>
      <c r="D23" s="8">
        <v>0.2281</v>
      </c>
      <c r="E23" s="10">
        <v>5.6221690782581657E-2</v>
      </c>
      <c r="F23" s="10">
        <v>8.4564871820669629E-2</v>
      </c>
      <c r="G23" s="10">
        <v>9.1047221150395319E-2</v>
      </c>
      <c r="H23" s="10">
        <v>0.20680710114570233</v>
      </c>
      <c r="I23" s="10">
        <v>0.1142369983630831</v>
      </c>
      <c r="K23" t="s">
        <v>15</v>
      </c>
      <c r="L23" s="11">
        <v>5.8349999999999999E-2</v>
      </c>
      <c r="M23" s="11">
        <v>4.5039999999999997E-2</v>
      </c>
      <c r="N23" s="16">
        <v>5.5069464342836362E-2</v>
      </c>
      <c r="O23" s="11">
        <v>5.3415639729263928E-2</v>
      </c>
      <c r="P23" s="11">
        <v>5.3037394645874432E-2</v>
      </c>
      <c r="Q23" s="11">
        <v>4.6282805648148267E-2</v>
      </c>
      <c r="R23" s="11">
        <v>4.9805015361341125E-2</v>
      </c>
    </row>
    <row r="24" spans="2:18" x14ac:dyDescent="0.3">
      <c r="B24" t="s">
        <v>12</v>
      </c>
      <c r="C24" s="4">
        <v>0</v>
      </c>
      <c r="D24" s="8">
        <v>0.29870000000000002</v>
      </c>
      <c r="E24" s="10">
        <v>5.7908413001198533E-2</v>
      </c>
      <c r="F24" s="10">
        <v>0.24056119725153058</v>
      </c>
      <c r="G24" s="10">
        <v>0.25574916631083111</v>
      </c>
      <c r="H24" s="10">
        <v>0.25440335669994202</v>
      </c>
      <c r="I24" s="10">
        <v>0.24062441634931975</v>
      </c>
      <c r="K24" t="s">
        <v>12</v>
      </c>
      <c r="L24" s="11">
        <v>5.8349999999999999E-2</v>
      </c>
      <c r="M24" s="11">
        <v>4.0919999999999998E-2</v>
      </c>
      <c r="N24" s="16">
        <v>5.4971044101380068E-2</v>
      </c>
      <c r="O24" s="11">
        <v>4.4313254140373189E-2</v>
      </c>
      <c r="P24" s="11">
        <v>4.3427036145763001E-2</v>
      </c>
      <c r="Q24" s="11">
        <v>4.3505564136558414E-2</v>
      </c>
      <c r="R24" s="11">
        <v>4.3234211677767087E-2</v>
      </c>
    </row>
    <row r="25" spans="2:18" x14ac:dyDescent="0.3">
      <c r="B25" t="s">
        <v>13</v>
      </c>
      <c r="C25" s="4">
        <v>0</v>
      </c>
      <c r="D25" s="8">
        <v>0.29849999999999999</v>
      </c>
      <c r="E25" s="10">
        <v>0.13608243010553511</v>
      </c>
      <c r="F25" s="10">
        <v>0.21055896564997512</v>
      </c>
      <c r="G25" s="10">
        <v>0.23950719896644912</v>
      </c>
      <c r="H25" s="10">
        <v>0.1856498953155481</v>
      </c>
      <c r="I25" s="10">
        <v>0.23044285350022198</v>
      </c>
      <c r="K25" t="s">
        <v>13</v>
      </c>
      <c r="L25" s="11">
        <v>5.8349999999999999E-2</v>
      </c>
      <c r="M25" s="11">
        <v>4.0930000000000001E-2</v>
      </c>
      <c r="N25" s="16">
        <v>5.0409590203342028E-2</v>
      </c>
      <c r="O25" s="11">
        <v>4.6063884354323952E-2</v>
      </c>
      <c r="P25" s="11">
        <v>4.4374754940307695E-2</v>
      </c>
      <c r="Q25" s="11">
        <v>4.7517328608337767E-2</v>
      </c>
      <c r="R25" s="11">
        <v>4.3387924205257319E-2</v>
      </c>
    </row>
    <row r="26" spans="2:18" x14ac:dyDescent="0.3">
      <c r="B26" t="s">
        <v>17</v>
      </c>
      <c r="C26" s="4">
        <v>0</v>
      </c>
      <c r="D26" s="8">
        <v>0.29730000000000001</v>
      </c>
      <c r="E26" s="10">
        <v>8.8609233032897805E-2</v>
      </c>
      <c r="F26" s="10">
        <v>0.25689352659122133</v>
      </c>
      <c r="G26" s="10">
        <v>7.6055905518362055E-2</v>
      </c>
      <c r="H26" s="10">
        <v>0.25687379275463196</v>
      </c>
      <c r="I26" s="10">
        <v>0.15711280726411603</v>
      </c>
      <c r="K26" t="s">
        <v>17</v>
      </c>
      <c r="L26" s="11">
        <v>5.8349999999999999E-2</v>
      </c>
      <c r="M26" s="11">
        <v>4.1000000000000002E-2</v>
      </c>
      <c r="N26" s="16">
        <v>5.3179651252530415E-2</v>
      </c>
      <c r="O26" s="11">
        <v>4.3360262723402238E-2</v>
      </c>
      <c r="P26" s="11">
        <v>5.3912137913003574E-2</v>
      </c>
      <c r="Q26" s="11">
        <v>4.3361414192767227E-2</v>
      </c>
      <c r="R26" s="11">
        <v>5.0142229410276899E-2</v>
      </c>
    </row>
    <row r="29" spans="2:18" x14ac:dyDescent="0.3">
      <c r="C29" s="32" t="s">
        <v>125</v>
      </c>
      <c r="D29" s="32"/>
      <c r="E29" s="32"/>
      <c r="F29" s="32"/>
      <c r="G29" s="32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>
        <v>0.27036596903575993</v>
      </c>
      <c r="D31" s="11">
        <v>0.39013288382721117</v>
      </c>
      <c r="E31" s="11">
        <v>0.38719937723587172</v>
      </c>
      <c r="F31" s="11">
        <v>0.33398215693109701</v>
      </c>
      <c r="G31" s="11">
        <v>0.36292074336396318</v>
      </c>
    </row>
    <row r="32" spans="2:18" x14ac:dyDescent="0.3">
      <c r="B32" t="s">
        <v>9</v>
      </c>
      <c r="C32" s="11">
        <v>0.17825453178588072</v>
      </c>
      <c r="D32" s="11">
        <v>0.56661151600988446</v>
      </c>
      <c r="E32" s="11">
        <v>0.44135960655038037</v>
      </c>
      <c r="F32" s="11">
        <v>0.55322960021765089</v>
      </c>
      <c r="G32" s="11">
        <v>0.43258455731756018</v>
      </c>
    </row>
    <row r="33" spans="2:11" x14ac:dyDescent="0.3">
      <c r="B33" t="s">
        <v>10</v>
      </c>
      <c r="C33" s="11">
        <v>0.22838711602901171</v>
      </c>
      <c r="D33" s="11">
        <v>0.21663010077239758</v>
      </c>
      <c r="E33" s="11">
        <v>0.41271332143859113</v>
      </c>
      <c r="F33" s="11">
        <v>0.21967242681898083</v>
      </c>
      <c r="G33" s="11">
        <v>0.29361513663107125</v>
      </c>
    </row>
    <row r="34" spans="2:11" x14ac:dyDescent="0.3">
      <c r="B34" s="5" t="s">
        <v>11</v>
      </c>
      <c r="C34" s="11">
        <v>0.38141428796114862</v>
      </c>
      <c r="D34" s="11">
        <v>0.41095216865652717</v>
      </c>
      <c r="E34" s="11">
        <v>0.4211445772069744</v>
      </c>
      <c r="F34" s="11">
        <v>0.3788187690785787</v>
      </c>
      <c r="G34" s="11">
        <v>0.39775791921894926</v>
      </c>
    </row>
    <row r="35" spans="2:11" x14ac:dyDescent="0.3">
      <c r="B35" t="s">
        <v>16</v>
      </c>
      <c r="C35" s="11">
        <v>0.41227065884198894</v>
      </c>
      <c r="D35" s="11">
        <v>0.60083773433032117</v>
      </c>
      <c r="E35" s="11">
        <v>0.49164637805769534</v>
      </c>
      <c r="F35" s="11">
        <v>0.46202223379596946</v>
      </c>
      <c r="G35" s="11">
        <v>0.41977550518454715</v>
      </c>
    </row>
    <row r="36" spans="2:11" x14ac:dyDescent="0.3">
      <c r="B36" t="s">
        <v>15</v>
      </c>
      <c r="C36" s="11">
        <v>0.34171634136830786</v>
      </c>
      <c r="D36" s="11">
        <v>0.12198275577072183</v>
      </c>
      <c r="E36" s="11">
        <v>0.30682220821493683</v>
      </c>
      <c r="F36" s="11">
        <v>0.20260463729039763</v>
      </c>
      <c r="G36" s="11">
        <v>0.26605535513429657</v>
      </c>
    </row>
    <row r="37" spans="2:11" x14ac:dyDescent="0.3">
      <c r="B37" t="s">
        <v>12</v>
      </c>
      <c r="C37" s="11">
        <v>0.41595752671814568</v>
      </c>
      <c r="D37" s="11">
        <v>0.47267945248191412</v>
      </c>
      <c r="E37" s="11">
        <v>0.40671098874071199</v>
      </c>
      <c r="F37" s="11">
        <v>0.44664935315572896</v>
      </c>
      <c r="G37" s="11">
        <v>0.41216225824360453</v>
      </c>
    </row>
    <row r="38" spans="2:11" x14ac:dyDescent="0.3">
      <c r="B38" t="s">
        <v>13</v>
      </c>
      <c r="C38" s="11">
        <v>0.21114133054467246</v>
      </c>
      <c r="D38" s="11">
        <v>0.50000207068662539</v>
      </c>
      <c r="E38" s="11">
        <v>0.46665433033960602</v>
      </c>
      <c r="F38" s="11">
        <v>0.44870850929678541</v>
      </c>
      <c r="G38" s="11">
        <v>0.46185694491549084</v>
      </c>
    </row>
    <row r="39" spans="2:11" x14ac:dyDescent="0.3">
      <c r="B39" t="s">
        <v>17</v>
      </c>
      <c r="C39" s="11">
        <v>0.42827139350535826</v>
      </c>
      <c r="D39" s="11">
        <v>0.40804344180915486</v>
      </c>
      <c r="E39" s="11">
        <v>0.49936014307589566</v>
      </c>
      <c r="F39" s="11">
        <v>0.37619780849825468</v>
      </c>
      <c r="G39" s="11">
        <v>0.41735152486907601</v>
      </c>
    </row>
    <row r="46" spans="2:11" x14ac:dyDescent="0.3">
      <c r="K46" s="10"/>
    </row>
    <row r="47" spans="2:11" x14ac:dyDescent="0.3">
      <c r="K47" s="10"/>
    </row>
    <row r="48" spans="2:11" x14ac:dyDescent="0.3">
      <c r="K48" s="10"/>
    </row>
    <row r="49" spans="3:25" x14ac:dyDescent="0.3">
      <c r="K49" s="10"/>
    </row>
    <row r="50" spans="3:25" x14ac:dyDescent="0.3">
      <c r="K50" s="10"/>
    </row>
    <row r="51" spans="3:25" x14ac:dyDescent="0.3">
      <c r="K51" s="10"/>
    </row>
    <row r="52" spans="3:25" x14ac:dyDescent="0.3">
      <c r="K52" s="10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3:25" x14ac:dyDescent="0.3"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3:25" x14ac:dyDescent="0.3"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3:25" x14ac:dyDescent="0.3">
      <c r="C55" s="4"/>
      <c r="D55" s="8"/>
      <c r="E55" s="10"/>
      <c r="F55" s="10"/>
      <c r="G55" s="10"/>
      <c r="H55" s="10"/>
      <c r="I55" s="10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3:25" x14ac:dyDescent="0.3">
      <c r="C56" s="4"/>
      <c r="D56" s="8"/>
      <c r="E56" s="10"/>
      <c r="F56" s="10"/>
      <c r="G56" s="10"/>
      <c r="H56" s="10"/>
      <c r="I56" s="10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3:25" x14ac:dyDescent="0.3">
      <c r="C57" s="4"/>
      <c r="D57" s="8"/>
      <c r="E57" s="10"/>
      <c r="F57" s="10"/>
      <c r="G57" s="10"/>
      <c r="H57" s="10"/>
      <c r="I57" s="10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3:25" x14ac:dyDescent="0.3">
      <c r="C58" s="4"/>
      <c r="D58" s="8"/>
      <c r="E58" s="10"/>
      <c r="F58" s="10"/>
      <c r="G58" s="10"/>
      <c r="H58" s="10"/>
      <c r="I58" s="10"/>
      <c r="J58" s="10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3:25" x14ac:dyDescent="0.3">
      <c r="C59" s="4"/>
      <c r="D59" s="8"/>
      <c r="E59" s="10"/>
      <c r="F59" s="10"/>
      <c r="G59" s="10"/>
      <c r="H59" s="10"/>
      <c r="I59" s="10"/>
      <c r="J59" s="10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3:25" x14ac:dyDescent="0.3">
      <c r="C60" s="4"/>
      <c r="D60" s="8"/>
      <c r="E60" s="10"/>
      <c r="F60" s="10"/>
      <c r="G60" s="10"/>
      <c r="H60" s="10"/>
      <c r="I60" s="10"/>
      <c r="J60" s="10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3:25" x14ac:dyDescent="0.3">
      <c r="C61" s="4"/>
      <c r="D61" s="8"/>
      <c r="E61" s="10"/>
      <c r="F61" s="10"/>
      <c r="G61" s="10"/>
      <c r="H61" s="10"/>
      <c r="I61" s="10"/>
      <c r="J61" s="10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3:25" x14ac:dyDescent="0.3">
      <c r="J62" s="10"/>
    </row>
    <row r="63" spans="3:25" x14ac:dyDescent="0.3">
      <c r="J63" s="10"/>
    </row>
    <row r="64" spans="3:25" x14ac:dyDescent="0.3">
      <c r="J64" s="10"/>
      <c r="X64" s="11"/>
      <c r="Y64" s="11"/>
    </row>
    <row r="65" spans="24:25" x14ac:dyDescent="0.3">
      <c r="X65" s="11"/>
      <c r="Y65" s="11"/>
    </row>
    <row r="66" spans="24:25" x14ac:dyDescent="0.3">
      <c r="X66" s="11"/>
      <c r="Y66" s="11"/>
    </row>
    <row r="67" spans="24:25" x14ac:dyDescent="0.3">
      <c r="X67" s="11"/>
      <c r="Y67" s="11"/>
    </row>
    <row r="68" spans="24:25" x14ac:dyDescent="0.3">
      <c r="X68" s="11"/>
      <c r="Y68" s="11"/>
    </row>
    <row r="69" spans="24:25" x14ac:dyDescent="0.3">
      <c r="X69" s="11"/>
      <c r="Y69" s="11"/>
    </row>
    <row r="70" spans="24:25" x14ac:dyDescent="0.3">
      <c r="X70" s="11"/>
      <c r="Y70" s="11"/>
    </row>
    <row r="71" spans="24:25" x14ac:dyDescent="0.3">
      <c r="X71" s="11"/>
      <c r="Y71" s="11"/>
    </row>
    <row r="72" spans="24:25" x14ac:dyDescent="0.3">
      <c r="X72" s="11"/>
      <c r="Y72" s="11"/>
    </row>
    <row r="73" spans="24:25" x14ac:dyDescent="0.3">
      <c r="X73" s="11"/>
      <c r="Y73" s="11"/>
    </row>
  </sheetData>
  <mergeCells count="5">
    <mergeCell ref="C3:I3"/>
    <mergeCell ref="C16:I16"/>
    <mergeCell ref="L3:R3"/>
    <mergeCell ref="L16:R16"/>
    <mergeCell ref="C29:G29"/>
  </mergeCells>
  <conditionalFormatting sqref="C31:G39">
    <cfRule type="colorScale" priority="330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215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I26">
    <cfRule type="colorScale" priority="219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46:K52 J58:J64 C55:I61">
    <cfRule type="colorScale" priority="208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23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43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52:W61 X64:Y73">
    <cfRule type="colorScale" priority="13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X14:Y15">
    <cfRule type="colorScale" priority="203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3C35-6B9B-4648-82C5-42A3EF962551}">
  <dimension ref="B2:R39"/>
  <sheetViews>
    <sheetView topLeftCell="B1" zoomScale="57" workbookViewId="0">
      <selection activeCell="H29" sqref="H29"/>
    </sheetView>
  </sheetViews>
  <sheetFormatPr defaultRowHeight="14.4" x14ac:dyDescent="0.3"/>
  <cols>
    <col min="2" max="2" width="41.33203125" customWidth="1"/>
    <col min="3" max="3" width="21.77734375" customWidth="1"/>
    <col min="4" max="4" width="17.5546875" customWidth="1"/>
    <col min="5" max="5" width="26.77734375" customWidth="1"/>
    <col min="6" max="6" width="20.88671875" customWidth="1"/>
    <col min="7" max="7" width="22" customWidth="1"/>
    <col min="8" max="8" width="21.5546875" customWidth="1"/>
    <col min="9" max="9" width="23" customWidth="1"/>
    <col min="10" max="10" width="17.77734375" customWidth="1"/>
    <col min="11" max="11" width="40.88671875" customWidth="1"/>
    <col min="12" max="12" width="20.88671875" customWidth="1"/>
    <col min="13" max="13" width="23.44140625" customWidth="1"/>
    <col min="14" max="14" width="25.88671875" customWidth="1"/>
    <col min="15" max="15" width="19.21875" customWidth="1"/>
    <col min="16" max="16" width="15.33203125" customWidth="1"/>
    <col min="17" max="17" width="13.88671875" customWidth="1"/>
    <col min="18" max="18" width="15.21875" customWidth="1"/>
  </cols>
  <sheetData>
    <row r="2" spans="2:18" x14ac:dyDescent="0.3">
      <c r="L2" t="s">
        <v>95</v>
      </c>
    </row>
    <row r="3" spans="2:18" x14ac:dyDescent="0.3">
      <c r="C3" s="32" t="s">
        <v>35</v>
      </c>
      <c r="D3" s="32"/>
      <c r="E3" s="32"/>
      <c r="F3" s="32"/>
      <c r="G3" s="32"/>
      <c r="H3" s="32"/>
      <c r="I3" s="32"/>
      <c r="L3" s="32" t="s">
        <v>34</v>
      </c>
      <c r="M3" s="32"/>
      <c r="N3" s="32"/>
      <c r="O3" s="32"/>
      <c r="P3" s="32"/>
      <c r="Q3" s="32"/>
      <c r="R3" s="32"/>
    </row>
    <row r="4" spans="2:18" ht="40.200000000000003" customHeight="1" x14ac:dyDescent="0.3">
      <c r="B4" s="6" t="s">
        <v>7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12" t="s">
        <v>22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8">
        <v>0.25</v>
      </c>
      <c r="E5" s="10">
        <v>6.4357663494962747E-2</v>
      </c>
      <c r="F5" s="10">
        <v>0.21518202747501847</v>
      </c>
      <c r="G5" s="10">
        <v>0.2156435554007976</v>
      </c>
      <c r="H5" s="10">
        <v>0.15559991527921002</v>
      </c>
      <c r="I5" s="10">
        <v>0.18090264966716951</v>
      </c>
      <c r="K5" t="s">
        <v>8</v>
      </c>
      <c r="L5" s="11">
        <v>4.3589999999999997E-2</v>
      </c>
      <c r="M5" s="11">
        <v>3.2689999999999997E-2</v>
      </c>
      <c r="N5" s="11">
        <v>4.0784649448254572E-2</v>
      </c>
      <c r="O5" s="11">
        <v>3.4210215422363945E-2</v>
      </c>
      <c r="P5" s="11">
        <v>3.4190097420079231E-2</v>
      </c>
      <c r="Q5" s="11">
        <v>3.6807399692979234E-2</v>
      </c>
      <c r="R5" s="11">
        <v>3.5704453501008079E-2</v>
      </c>
    </row>
    <row r="6" spans="2:18" x14ac:dyDescent="0.3">
      <c r="B6" t="s">
        <v>9</v>
      </c>
      <c r="C6" s="4">
        <v>0</v>
      </c>
      <c r="D6" s="8">
        <v>0.25</v>
      </c>
      <c r="E6" s="10">
        <v>6.4357663494962747E-2</v>
      </c>
      <c r="F6" s="10">
        <v>0.15002861410029578</v>
      </c>
      <c r="G6" s="10">
        <v>0.15002861410029611</v>
      </c>
      <c r="H6" s="10">
        <v>0.15002861410029578</v>
      </c>
      <c r="I6" s="10">
        <v>0.19646510584094645</v>
      </c>
      <c r="K6" t="s">
        <v>9</v>
      </c>
      <c r="L6" s="11">
        <v>4.3589999999999997E-2</v>
      </c>
      <c r="M6" s="11">
        <v>3.2689999999999997E-2</v>
      </c>
      <c r="N6" s="11">
        <v>4.0784649448254572E-2</v>
      </c>
      <c r="O6" s="11">
        <v>3.7050252711368102E-2</v>
      </c>
      <c r="P6" s="11">
        <v>3.7050252711368088E-2</v>
      </c>
      <c r="Q6" s="11">
        <v>3.7050252711368102E-2</v>
      </c>
      <c r="R6" s="11">
        <v>3.5026086036393143E-2</v>
      </c>
    </row>
    <row r="7" spans="2:18" ht="19.2" customHeight="1" x14ac:dyDescent="0.3">
      <c r="B7" t="s">
        <v>10</v>
      </c>
      <c r="C7" s="4">
        <v>0</v>
      </c>
      <c r="D7" s="8">
        <v>0.25</v>
      </c>
      <c r="E7" s="10">
        <v>4.3756988726111778E-2</v>
      </c>
      <c r="F7" s="10">
        <v>0.18777410176644416</v>
      </c>
      <c r="G7" s="10">
        <v>7.0913177393081228E-2</v>
      </c>
      <c r="H7" s="10">
        <v>0.20608113160785246</v>
      </c>
      <c r="I7" s="10">
        <v>7.0913177393081228E-2</v>
      </c>
      <c r="K7" t="s">
        <v>10</v>
      </c>
      <c r="L7" s="11">
        <v>4.3589999999999997E-2</v>
      </c>
      <c r="M7" s="11">
        <v>3.2689999999999997E-2</v>
      </c>
      <c r="N7" s="11">
        <v>4.1682632861428787E-2</v>
      </c>
      <c r="O7" s="11">
        <v>3.5404926904000697E-2</v>
      </c>
      <c r="P7" s="11">
        <v>4.0498894597435588E-2</v>
      </c>
      <c r="Q7" s="11">
        <v>3.4606923473213709E-2</v>
      </c>
      <c r="R7" s="11">
        <v>4.0498894597435588E-2</v>
      </c>
    </row>
    <row r="8" spans="2:18" ht="28.8" x14ac:dyDescent="0.3">
      <c r="B8" s="5" t="s">
        <v>11</v>
      </c>
      <c r="C8" s="4">
        <v>0</v>
      </c>
      <c r="D8" s="8">
        <v>0.25</v>
      </c>
      <c r="E8" s="10">
        <v>8.605155685788124E-3</v>
      </c>
      <c r="F8" s="10">
        <v>0.142196432645598</v>
      </c>
      <c r="G8" s="10">
        <v>0.17912650321178347</v>
      </c>
      <c r="H8" s="10">
        <v>0.142196432645598</v>
      </c>
      <c r="I8" s="10">
        <v>0.21802195833609883</v>
      </c>
      <c r="K8" s="5" t="s">
        <v>11</v>
      </c>
      <c r="L8" s="11">
        <v>4.3589999999999997E-2</v>
      </c>
      <c r="M8" s="11">
        <v>3.2689999999999997E-2</v>
      </c>
      <c r="N8" s="11">
        <v>4.3214901263656492E-2</v>
      </c>
      <c r="O8" s="11">
        <v>3.7391657500978379E-2</v>
      </c>
      <c r="P8" s="11">
        <v>3.5781875724998358E-2</v>
      </c>
      <c r="Q8" s="11">
        <v>3.7391657500978379E-2</v>
      </c>
      <c r="R8" s="11">
        <v>3.4086422836129449E-2</v>
      </c>
    </row>
    <row r="9" spans="2:18" x14ac:dyDescent="0.3">
      <c r="B9" t="s">
        <v>16</v>
      </c>
      <c r="C9" s="4">
        <v>0</v>
      </c>
      <c r="D9" s="8">
        <v>0.25</v>
      </c>
      <c r="E9" s="10">
        <v>9.1888659879102441E-3</v>
      </c>
      <c r="F9" s="10">
        <v>0.15002861410029578</v>
      </c>
      <c r="G9" s="10">
        <v>0.15002861410029578</v>
      </c>
      <c r="H9" s="10">
        <v>0.15002861410029578</v>
      </c>
      <c r="I9" s="10">
        <v>0.15725054300615116</v>
      </c>
      <c r="K9" t="s">
        <v>16</v>
      </c>
      <c r="L9" s="11">
        <v>4.3589999999999997E-2</v>
      </c>
      <c r="M9" s="11">
        <v>3.2689999999999997E-2</v>
      </c>
      <c r="N9" s="11">
        <v>4.3189457331586988E-2</v>
      </c>
      <c r="O9" s="11">
        <v>3.7050252711368102E-2</v>
      </c>
      <c r="P9" s="11">
        <v>3.7050252711368102E-2</v>
      </c>
      <c r="Q9" s="11">
        <v>3.7050252711368102E-2</v>
      </c>
      <c r="R9" s="11">
        <v>3.6735448830361866E-2</v>
      </c>
    </row>
    <row r="10" spans="2:18" x14ac:dyDescent="0.3">
      <c r="B10" t="s">
        <v>15</v>
      </c>
      <c r="C10" s="4">
        <v>0</v>
      </c>
      <c r="D10" s="8">
        <v>0.25</v>
      </c>
      <c r="E10" s="10">
        <v>8.1722999515102868E-2</v>
      </c>
      <c r="F10" s="10">
        <v>0.22234125768809199</v>
      </c>
      <c r="G10" s="10">
        <v>0.12115303366782759</v>
      </c>
      <c r="H10" s="10">
        <v>0.24213538958991832</v>
      </c>
      <c r="I10" s="10">
        <v>0.21104588299272697</v>
      </c>
      <c r="K10" t="s">
        <v>15</v>
      </c>
      <c r="L10" s="11">
        <v>4.3589999999999997E-2</v>
      </c>
      <c r="M10" s="11">
        <v>3.2689999999999997E-2</v>
      </c>
      <c r="N10" s="11">
        <v>4.0027694451136665E-2</v>
      </c>
      <c r="O10" s="11">
        <v>3.3898144577376069E-2</v>
      </c>
      <c r="P10" s="11">
        <v>3.8308939262419392E-2</v>
      </c>
      <c r="Q10" s="11">
        <v>3.3035318367775457E-2</v>
      </c>
      <c r="R10" s="11">
        <v>3.4390509960347031E-2</v>
      </c>
    </row>
    <row r="11" spans="2:18" x14ac:dyDescent="0.3">
      <c r="B11" t="s">
        <v>12</v>
      </c>
      <c r="C11" s="4">
        <v>0</v>
      </c>
      <c r="D11" s="8">
        <v>0.32140000000000002</v>
      </c>
      <c r="E11" s="10">
        <v>0.17678633097577678</v>
      </c>
      <c r="F11" s="10">
        <v>0.24047298803130635</v>
      </c>
      <c r="G11" s="10">
        <v>0.27482674475918412</v>
      </c>
      <c r="H11" s="10">
        <v>0.26892531553794863</v>
      </c>
      <c r="I11" s="10">
        <v>0.2868183227495078</v>
      </c>
      <c r="K11" t="s">
        <v>12</v>
      </c>
      <c r="L11" s="11">
        <v>4.3589999999999997E-2</v>
      </c>
      <c r="M11" s="11">
        <v>2.9579999999999999E-2</v>
      </c>
      <c r="N11" s="11">
        <v>3.5883883832765889E-2</v>
      </c>
      <c r="O11" s="11">
        <v>3.3107782451715355E-2</v>
      </c>
      <c r="P11" s="11">
        <v>3.1610302195947161E-2</v>
      </c>
      <c r="Q11" s="11">
        <v>3.1867545495700818E-2</v>
      </c>
      <c r="R11" s="11">
        <v>3.1087589311348952E-2</v>
      </c>
    </row>
    <row r="12" spans="2:18" x14ac:dyDescent="0.3">
      <c r="B12" t="s">
        <v>13</v>
      </c>
      <c r="C12" s="4">
        <v>0</v>
      </c>
      <c r="D12" s="8">
        <v>0.32140000000000002</v>
      </c>
      <c r="E12" s="10">
        <v>0.17554437463133066</v>
      </c>
      <c r="F12" s="10">
        <v>0.22539089366619991</v>
      </c>
      <c r="G12" s="10">
        <v>0.26832832314657695</v>
      </c>
      <c r="H12" s="10">
        <v>0.24160092681397272</v>
      </c>
      <c r="I12" s="10">
        <v>0.28271973724210009</v>
      </c>
      <c r="K12" t="s">
        <v>13</v>
      </c>
      <c r="L12" s="11">
        <v>4.3589999999999997E-2</v>
      </c>
      <c r="M12" s="11">
        <v>2.9579999999999999E-2</v>
      </c>
      <c r="N12" s="11">
        <v>3.5938020709820294E-2</v>
      </c>
      <c r="O12" s="11">
        <v>3.3765210945090343E-2</v>
      </c>
      <c r="P12" s="11">
        <v>3.1893568394040707E-2</v>
      </c>
      <c r="Q12" s="11">
        <v>3.3058615600178927E-2</v>
      </c>
      <c r="R12" s="11">
        <v>3.1266246653616853E-2</v>
      </c>
    </row>
    <row r="13" spans="2:18" x14ac:dyDescent="0.3">
      <c r="B13" t="s">
        <v>17</v>
      </c>
      <c r="C13" s="4">
        <v>0</v>
      </c>
      <c r="D13" s="8">
        <v>0.32117000000000001</v>
      </c>
      <c r="E13" s="10">
        <v>0.17833748322159049</v>
      </c>
      <c r="F13" s="10">
        <v>0.27599917173776034</v>
      </c>
      <c r="G13" s="10">
        <v>0.18073169844992221</v>
      </c>
      <c r="H13" s="10">
        <v>0.27662426558672015</v>
      </c>
      <c r="I13" s="10">
        <v>0.21099956727149805</v>
      </c>
      <c r="K13" t="s">
        <v>17</v>
      </c>
      <c r="L13" s="11">
        <v>4.3589999999999997E-2</v>
      </c>
      <c r="M13" s="11">
        <v>2.9590000000000002E-2</v>
      </c>
      <c r="N13" s="11">
        <v>3.5816269106370868E-2</v>
      </c>
      <c r="O13" s="11">
        <v>3.1559196103951026E-2</v>
      </c>
      <c r="P13" s="11">
        <v>3.5711905264567891E-2</v>
      </c>
      <c r="Q13" s="11">
        <v>3.1531948263074865E-2</v>
      </c>
      <c r="R13" s="11">
        <v>3.4392528862635399E-2</v>
      </c>
    </row>
    <row r="16" spans="2:18" x14ac:dyDescent="0.3">
      <c r="C16" s="32" t="s">
        <v>36</v>
      </c>
      <c r="D16" s="32"/>
      <c r="E16" s="32"/>
      <c r="F16" s="32"/>
      <c r="G16" s="32"/>
      <c r="H16" s="32"/>
      <c r="I16" s="32"/>
      <c r="L16" s="32" t="s">
        <v>26</v>
      </c>
      <c r="M16" s="32"/>
      <c r="N16" s="32"/>
      <c r="O16" s="32"/>
      <c r="P16" s="32"/>
      <c r="Q16" s="32"/>
      <c r="R16" s="32"/>
    </row>
    <row r="17" spans="2:18" ht="43.8" customHeight="1" x14ac:dyDescent="0.3">
      <c r="B17" s="6" t="s">
        <v>7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12" t="s">
        <v>22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>
        <v>0.2281</v>
      </c>
      <c r="E18" s="10">
        <v>7.1721883469970438E-2</v>
      </c>
      <c r="F18" s="10">
        <v>0.1561637461901153</v>
      </c>
      <c r="G18" s="10">
        <v>0.20614761781231883</v>
      </c>
      <c r="H18" s="10">
        <v>0.13561579525788958</v>
      </c>
      <c r="I18" s="10">
        <v>0.13575239272486739</v>
      </c>
      <c r="K18" t="s">
        <v>8</v>
      </c>
      <c r="L18" s="11">
        <v>5.8349999999999999E-2</v>
      </c>
      <c r="M18" s="11">
        <v>4.5039999999999997E-2</v>
      </c>
      <c r="N18" s="11">
        <v>5.4165028099527224E-2</v>
      </c>
      <c r="O18" s="11">
        <v>4.9237845409806774E-2</v>
      </c>
      <c r="P18" s="11">
        <v>4.6321286500651197E-2</v>
      </c>
      <c r="Q18" s="11">
        <v>5.0436818346702141E-2</v>
      </c>
      <c r="R18" s="11">
        <v>4.9619032078216434E-2</v>
      </c>
    </row>
    <row r="19" spans="2:18" x14ac:dyDescent="0.3">
      <c r="B19" t="s">
        <v>9</v>
      </c>
      <c r="C19" s="4">
        <v>0</v>
      </c>
      <c r="D19" s="8">
        <v>0.2281</v>
      </c>
      <c r="E19" s="10">
        <v>7.1721883469970438E-2</v>
      </c>
      <c r="F19" s="10">
        <v>0.15778785713138921</v>
      </c>
      <c r="G19" s="10">
        <v>0.13561579525788958</v>
      </c>
      <c r="H19" s="10">
        <v>0.15778785713138921</v>
      </c>
      <c r="I19" s="10">
        <v>0.19991644256986896</v>
      </c>
      <c r="K19" t="s">
        <v>9</v>
      </c>
      <c r="L19" s="11">
        <v>5.8349999999999999E-2</v>
      </c>
      <c r="M19" s="11">
        <v>4.5039999999999997E-2</v>
      </c>
      <c r="N19" s="11">
        <v>5.4165028099527224E-2</v>
      </c>
      <c r="O19" s="11">
        <v>4.9143078536383437E-2</v>
      </c>
      <c r="P19" s="11">
        <v>5.0436818346702141E-2</v>
      </c>
      <c r="Q19" s="11">
        <v>4.9143078536383437E-2</v>
      </c>
      <c r="R19" s="11">
        <v>4.6684875576048147E-2</v>
      </c>
    </row>
    <row r="20" spans="2:18" x14ac:dyDescent="0.3">
      <c r="B20" t="s">
        <v>10</v>
      </c>
      <c r="C20" s="4">
        <v>0</v>
      </c>
      <c r="D20" s="8">
        <v>0.2281</v>
      </c>
      <c r="E20" s="10">
        <v>5.6840714447178975E-2</v>
      </c>
      <c r="F20" s="10">
        <v>0.12341400307245998</v>
      </c>
      <c r="G20" s="10">
        <v>7.9545214892771887E-2</v>
      </c>
      <c r="H20" s="10">
        <v>0.17706332761786503</v>
      </c>
      <c r="I20" s="10">
        <v>7.9545214892771887E-2</v>
      </c>
      <c r="K20" t="s">
        <v>10</v>
      </c>
      <c r="L20" s="11">
        <v>5.8349999999999999E-2</v>
      </c>
      <c r="M20" s="11">
        <v>4.5039999999999997E-2</v>
      </c>
      <c r="N20" s="11">
        <v>5.5033344312007106E-2</v>
      </c>
      <c r="O20" s="11">
        <v>5.1148792920721962E-2</v>
      </c>
      <c r="P20" s="11">
        <v>5.3708536711006762E-2</v>
      </c>
      <c r="Q20" s="11">
        <v>4.8018354833497576E-2</v>
      </c>
      <c r="R20" s="11">
        <v>5.2770529413856876E-2</v>
      </c>
    </row>
    <row r="21" spans="2:18" ht="28.8" x14ac:dyDescent="0.3">
      <c r="B21" s="5" t="s">
        <v>11</v>
      </c>
      <c r="C21" s="4">
        <v>0</v>
      </c>
      <c r="D21" s="8">
        <v>0.2281</v>
      </c>
      <c r="E21" s="10">
        <v>7.6890765639132663E-3</v>
      </c>
      <c r="F21" s="10">
        <v>0.13561579525788958</v>
      </c>
      <c r="G21" s="10">
        <v>0.13202071522653847</v>
      </c>
      <c r="H21" s="10">
        <v>0.13561579525788958</v>
      </c>
      <c r="I21" s="10">
        <v>0.21182768285052345</v>
      </c>
      <c r="K21" s="5" t="s">
        <v>11</v>
      </c>
      <c r="L21" s="11">
        <v>5.8349999999999999E-2</v>
      </c>
      <c r="M21" s="11">
        <v>4.5039999999999997E-2</v>
      </c>
      <c r="N21" s="11">
        <v>5.7901342382495662E-2</v>
      </c>
      <c r="O21" s="11">
        <v>5.0436818346702141E-2</v>
      </c>
      <c r="P21" s="11">
        <v>5.0646591266531482E-2</v>
      </c>
      <c r="Q21" s="11">
        <v>5.0436818346702141E-2</v>
      </c>
      <c r="R21" s="11">
        <v>4.9619911149226842E-2</v>
      </c>
    </row>
    <row r="22" spans="2:18" x14ac:dyDescent="0.3">
      <c r="B22" t="s">
        <v>16</v>
      </c>
      <c r="C22" s="4">
        <v>0</v>
      </c>
      <c r="D22" s="8">
        <v>0.2281</v>
      </c>
      <c r="E22" s="10">
        <v>5.0608913841088121E-4</v>
      </c>
      <c r="F22" s="10">
        <v>0.14730979389801369</v>
      </c>
      <c r="G22" s="10">
        <v>0.14730979389801369</v>
      </c>
      <c r="H22" s="10">
        <v>0.15778785713138921</v>
      </c>
      <c r="I22" s="10">
        <v>0.14730979389801369</v>
      </c>
      <c r="K22" t="s">
        <v>16</v>
      </c>
      <c r="L22" s="11">
        <v>5.8349999999999999E-2</v>
      </c>
      <c r="M22" s="11">
        <v>4.5039999999999997E-2</v>
      </c>
      <c r="N22" s="11">
        <v>5.8320469698773726E-2</v>
      </c>
      <c r="O22" s="11">
        <v>4.9754473526050898E-2</v>
      </c>
      <c r="P22" s="11">
        <v>4.9754473526050898E-2</v>
      </c>
      <c r="Q22" s="11">
        <v>4.9143078536383437E-2</v>
      </c>
      <c r="R22" s="11">
        <v>4.9143078536383437E-2</v>
      </c>
    </row>
    <row r="23" spans="2:18" x14ac:dyDescent="0.3">
      <c r="B23" t="s">
        <v>15</v>
      </c>
      <c r="C23" s="4">
        <v>0</v>
      </c>
      <c r="D23" s="8">
        <v>0.2281</v>
      </c>
      <c r="E23" s="10">
        <v>5.6221690782581657E-2</v>
      </c>
      <c r="F23" s="10">
        <v>0.18993005708550892</v>
      </c>
      <c r="G23" s="10">
        <v>9.0305647909886599E-2</v>
      </c>
      <c r="H23" s="10">
        <v>0.21808204982493601</v>
      </c>
      <c r="I23" s="10">
        <v>0.14644360991703298</v>
      </c>
      <c r="K23" t="s">
        <v>15</v>
      </c>
      <c r="L23" s="11">
        <v>5.8349999999999999E-2</v>
      </c>
      <c r="M23" s="11">
        <v>4.5039999999999997E-2</v>
      </c>
      <c r="N23" s="11">
        <v>5.5069464342836362E-2</v>
      </c>
      <c r="O23" s="11">
        <v>4.7267581169060553E-2</v>
      </c>
      <c r="P23" s="11">
        <v>5.3080665444458115E-2</v>
      </c>
      <c r="Q23" s="11">
        <v>4.5624912392714968E-2</v>
      </c>
      <c r="R23" s="11">
        <v>5.1684271145514098E-2</v>
      </c>
    </row>
    <row r="24" spans="2:18" x14ac:dyDescent="0.3">
      <c r="B24" t="s">
        <v>12</v>
      </c>
      <c r="C24" s="4">
        <v>0</v>
      </c>
      <c r="D24" s="8">
        <v>0.29870000000000002</v>
      </c>
      <c r="E24" s="10">
        <v>7.7944135669978043E-2</v>
      </c>
      <c r="F24" s="10">
        <v>0.22604542401862901</v>
      </c>
      <c r="G24" s="10">
        <v>0.25660721550003762</v>
      </c>
      <c r="H24" s="10">
        <v>0.24161509589049501</v>
      </c>
      <c r="I24" s="10">
        <v>0.25905378444272342</v>
      </c>
      <c r="K24" t="s">
        <v>12</v>
      </c>
      <c r="L24" s="11">
        <v>5.8349999999999999E-2</v>
      </c>
      <c r="M24" s="11">
        <v>4.0919999999999998E-2</v>
      </c>
      <c r="N24" s="11">
        <v>5.380195968365678E-2</v>
      </c>
      <c r="O24" s="11">
        <v>4.5160249508512988E-2</v>
      </c>
      <c r="P24" s="11">
        <v>4.3376968975572805E-2</v>
      </c>
      <c r="Q24" s="11">
        <v>4.4251759154789627E-2</v>
      </c>
      <c r="R24" s="11">
        <v>4.4309565306017193E-2</v>
      </c>
    </row>
    <row r="25" spans="2:18" x14ac:dyDescent="0.3">
      <c r="B25" t="s">
        <v>13</v>
      </c>
      <c r="C25" s="4">
        <v>0</v>
      </c>
      <c r="D25" s="8">
        <v>0.29849999999999999</v>
      </c>
      <c r="E25" s="10">
        <v>9.0902557683243401E-2</v>
      </c>
      <c r="F25" s="10">
        <v>0.16556439168624082</v>
      </c>
      <c r="G25" s="10">
        <v>0.23101111444899392</v>
      </c>
      <c r="H25" s="10">
        <v>0.17502095183512933</v>
      </c>
      <c r="I25" s="10">
        <v>0.25641946520553005</v>
      </c>
      <c r="K25" t="s">
        <v>13</v>
      </c>
      <c r="L25" s="11">
        <v>5.8349999999999999E-2</v>
      </c>
      <c r="M25" s="11">
        <v>4.0919999999999998E-2</v>
      </c>
      <c r="N25" s="11">
        <v>5.3045835759182744E-2</v>
      </c>
      <c r="O25" s="11">
        <v>4.8689317745107846E-2</v>
      </c>
      <c r="P25" s="11">
        <v>4.4870501471901206E-2</v>
      </c>
      <c r="Q25" s="11">
        <v>4.8137527460420201E-2</v>
      </c>
      <c r="R25" s="11">
        <v>4.4903659498262048E-2</v>
      </c>
    </row>
    <row r="26" spans="2:18" x14ac:dyDescent="0.3">
      <c r="B26" t="s">
        <v>17</v>
      </c>
      <c r="C26" s="4">
        <v>0</v>
      </c>
      <c r="D26" s="8">
        <v>0.29730000000000001</v>
      </c>
      <c r="E26" s="10">
        <v>8.5685946789359591E-2</v>
      </c>
      <c r="F26" s="10">
        <v>0.25391669920588178</v>
      </c>
      <c r="G26" s="10">
        <v>9.8267266778472639E-2</v>
      </c>
      <c r="H26" s="10">
        <v>0.25720345256403832</v>
      </c>
      <c r="I26" s="10">
        <v>0.1406644488384422</v>
      </c>
      <c r="K26" t="s">
        <v>17</v>
      </c>
      <c r="L26" s="11">
        <v>5.8349999999999999E-2</v>
      </c>
      <c r="M26" s="11">
        <v>4.1000000000000002E-2</v>
      </c>
      <c r="N26" s="11">
        <v>5.3350225004840865E-2</v>
      </c>
      <c r="O26" s="11">
        <v>4.3533960601336796E-2</v>
      </c>
      <c r="P26" s="11">
        <v>5.2616104983476124E-2</v>
      </c>
      <c r="Q26" s="11">
        <v>4.3342178542888361E-2</v>
      </c>
      <c r="R26" s="11">
        <v>4.9182467696138828E-2</v>
      </c>
    </row>
    <row r="29" spans="2:18" x14ac:dyDescent="0.3">
      <c r="C29" s="32" t="s">
        <v>125</v>
      </c>
      <c r="D29" s="32"/>
      <c r="E29" s="32"/>
      <c r="F29" s="32"/>
      <c r="G29" s="32"/>
    </row>
    <row r="30" spans="2:18" ht="28.8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>
        <v>0.26849886988967564</v>
      </c>
      <c r="D31" s="11">
        <v>0.34455919151332515</v>
      </c>
      <c r="E31" s="11">
        <v>0.35948673100176382</v>
      </c>
      <c r="F31" s="11">
        <v>0.37432902304854843</v>
      </c>
      <c r="G31" s="11">
        <v>0.36708065691340575</v>
      </c>
    </row>
    <row r="32" spans="2:18" x14ac:dyDescent="0.3">
      <c r="B32" t="s">
        <v>9</v>
      </c>
      <c r="C32" s="11">
        <v>0.28389265592920077</v>
      </c>
      <c r="D32" s="11">
        <v>0.5666115160098848</v>
      </c>
      <c r="E32" s="11">
        <v>0.44748816392100921</v>
      </c>
      <c r="F32" s="11">
        <v>0.55322960021765089</v>
      </c>
      <c r="G32" s="11">
        <v>0.43258455731756018</v>
      </c>
    </row>
    <row r="33" spans="2:7" x14ac:dyDescent="0.3">
      <c r="B33" t="s">
        <v>10</v>
      </c>
      <c r="C33" s="11">
        <v>0.26946422799694225</v>
      </c>
      <c r="D33" s="11">
        <v>0.23684372316729357</v>
      </c>
      <c r="E33" s="11">
        <v>0.45120258900025934</v>
      </c>
      <c r="F33" s="11">
        <v>0.19208816704347273</v>
      </c>
      <c r="G33" s="11">
        <v>0.427764910194805</v>
      </c>
    </row>
    <row r="34" spans="2:7" x14ac:dyDescent="0.3">
      <c r="B34" s="5" t="s">
        <v>11</v>
      </c>
      <c r="C34" s="11">
        <v>0.41867166668178957</v>
      </c>
      <c r="D34" s="11">
        <v>0.4109521686565264</v>
      </c>
      <c r="E34" s="11">
        <v>0.39031422865248494</v>
      </c>
      <c r="F34" s="11">
        <v>0.38316469925260738</v>
      </c>
      <c r="G34" s="11">
        <v>0.39060705029083975</v>
      </c>
    </row>
    <row r="35" spans="2:7" x14ac:dyDescent="0.3">
      <c r="B35" t="s">
        <v>16</v>
      </c>
      <c r="C35" s="11">
        <v>0.4435483390842444</v>
      </c>
      <c r="D35" s="11">
        <v>0.60083773433032106</v>
      </c>
      <c r="E35" s="11">
        <v>0.49164637805769484</v>
      </c>
      <c r="F35" s="11">
        <v>0.46202223379596941</v>
      </c>
      <c r="G35" s="11">
        <v>0.4211440053679078</v>
      </c>
    </row>
    <row r="36" spans="2:7" x14ac:dyDescent="0.3">
      <c r="B36" t="s">
        <v>15</v>
      </c>
      <c r="C36" s="11">
        <v>0.34171634136802537</v>
      </c>
      <c r="D36" s="11">
        <v>0.15919401889272106</v>
      </c>
      <c r="E36" s="11">
        <v>0.3031692459607831</v>
      </c>
      <c r="F36" s="11">
        <v>0.1967077558289472</v>
      </c>
      <c r="G36" s="11">
        <v>0.23719209643691402</v>
      </c>
    </row>
    <row r="37" spans="2:7" x14ac:dyDescent="0.3">
      <c r="B37" t="s">
        <v>12</v>
      </c>
      <c r="C37" s="11">
        <v>0.36869358861378182</v>
      </c>
      <c r="D37" s="11">
        <v>0.49698554376151072</v>
      </c>
      <c r="E37" s="11">
        <v>0.39421322844464285</v>
      </c>
      <c r="F37" s="11">
        <v>0.45311019869397157</v>
      </c>
      <c r="G37" s="11">
        <v>0.40302496425489059</v>
      </c>
    </row>
    <row r="38" spans="2:7" x14ac:dyDescent="0.3">
      <c r="B38" t="s">
        <v>13</v>
      </c>
      <c r="C38" s="11">
        <v>0.41462087382925178</v>
      </c>
      <c r="D38" s="11">
        <v>0.50012221351352182</v>
      </c>
      <c r="E38" s="11">
        <v>0.45836896143701467</v>
      </c>
      <c r="F38" s="11">
        <v>0.438159824533778</v>
      </c>
      <c r="G38" s="11">
        <v>0.48298030964242533</v>
      </c>
    </row>
    <row r="39" spans="2:7" x14ac:dyDescent="0.3">
      <c r="B39" t="s">
        <v>17</v>
      </c>
      <c r="C39" s="11">
        <v>0.49557523603098574</v>
      </c>
      <c r="D39" s="11">
        <v>0.41718329691777195</v>
      </c>
      <c r="E39" s="11">
        <v>0.50369899656750861</v>
      </c>
      <c r="F39" s="11">
        <v>0.37119976553803968</v>
      </c>
      <c r="G39" s="11">
        <v>0.42916062821404077</v>
      </c>
    </row>
  </sheetData>
  <mergeCells count="5">
    <mergeCell ref="C3:I3"/>
    <mergeCell ref="C16:I16"/>
    <mergeCell ref="C29:G29"/>
    <mergeCell ref="L3:R3"/>
    <mergeCell ref="L16:R16"/>
  </mergeCells>
  <conditionalFormatting sqref="C31:G39">
    <cfRule type="colorScale" priority="331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260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C18:I26">
    <cfRule type="colorScale" priority="265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27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75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Hyperparameters</vt:lpstr>
      <vt:lpstr>KMeans_testing_results</vt:lpstr>
      <vt:lpstr>hierarchical_testing_results</vt:lpstr>
      <vt:lpstr>KMeans_training_results</vt:lpstr>
      <vt:lpstr>hierarchical_training_results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Ewout Venstermans</dc:creator>
  <cp:lastModifiedBy>Ewout Venstermans</cp:lastModifiedBy>
  <dcterms:created xsi:type="dcterms:W3CDTF">2025-03-06T18:17:22Z</dcterms:created>
  <dcterms:modified xsi:type="dcterms:W3CDTF">2026-07-03T09:53:26Z</dcterms:modified>
</cp:coreProperties>
</file>