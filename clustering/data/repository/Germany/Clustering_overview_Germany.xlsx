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ewout_venstermans_student_kuleuven_be/Documents/PHD/Julia/clean_code_thesis/clustering/data/repository/Germany/"/>
    </mc:Choice>
  </mc:AlternateContent>
  <xr:revisionPtr revIDLastSave="1034" documentId="13_ncr:1_{910AEDBA-7893-4F9F-BF0E-EF18BC66DAD3}" xr6:coauthVersionLast="47" xr6:coauthVersionMax="47" xr10:uidLastSave="{312E106C-F3EA-4762-B691-C2E84DC616D2}"/>
  <bookViews>
    <workbookView xWindow="-108" yWindow="-108" windowWidth="23256" windowHeight="13896" tabRatio="748" activeTab="2" xr2:uid="{075AD958-389E-421B-9689-344809DFA07D}"/>
  </bookViews>
  <sheets>
    <sheet name="Hyperparameters" sheetId="4" r:id="rId1"/>
    <sheet name="KMeans_testing_results" sheetId="5" r:id="rId2"/>
    <sheet name="hierarchical_testing_results" sheetId="6" r:id="rId3"/>
    <sheet name="KMeans_training_results" sheetId="2" r:id="rId4"/>
    <sheet name="hierarchical_training_result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5" l="1"/>
  <c r="L38" i="5"/>
  <c r="L38" i="6"/>
  <c r="L36" i="6"/>
  <c r="L37" i="6"/>
  <c r="L35" i="6"/>
  <c r="O44" i="6" l="1"/>
  <c r="O43" i="6"/>
  <c r="O42" i="6"/>
  <c r="O41" i="6"/>
  <c r="O45" i="6" s="1"/>
  <c r="O40" i="6"/>
  <c r="O39" i="6"/>
  <c r="O38" i="6"/>
  <c r="O37" i="6"/>
  <c r="O34" i="6"/>
  <c r="O36" i="6"/>
  <c r="O35" i="6"/>
  <c r="O33" i="6"/>
  <c r="O32" i="6"/>
  <c r="O31" i="6"/>
  <c r="L32" i="5"/>
  <c r="L32" i="6"/>
  <c r="L31" i="6"/>
  <c r="L31" i="5"/>
  <c r="L37" i="5"/>
  <c r="L35" i="5"/>
  <c r="O46" i="6" l="1"/>
</calcChain>
</file>

<file path=xl/sharedStrings.xml><?xml version="1.0" encoding="utf-8"?>
<sst xmlns="http://schemas.openxmlformats.org/spreadsheetml/2006/main" count="522" uniqueCount="118">
  <si>
    <t>Cte PF over all houses (basecase)</t>
  </si>
  <si>
    <t>PF-clustering on  time series</t>
  </si>
  <si>
    <t xml:space="preserve">P,Q-clustering on features </t>
  </si>
  <si>
    <t>P, Q, S, PF-clustering on features</t>
  </si>
  <si>
    <t>P, Q-clustering using PCA on features</t>
  </si>
  <si>
    <t>P,Q,S,PF-clustering using PCA on features</t>
  </si>
  <si>
    <t>KMeans clustering on filtered data</t>
  </si>
  <si>
    <t>Hierarchical clustering on filtered data</t>
  </si>
  <si>
    <t>full year clustering (15min)</t>
  </si>
  <si>
    <t>full year clustering (1h)</t>
  </si>
  <si>
    <t>full year clustering (24hrs)</t>
  </si>
  <si>
    <t>single month clustering (15min)</t>
  </si>
  <si>
    <t>clustering per season (15min)</t>
  </si>
  <si>
    <t>Clustering per season (1h)</t>
  </si>
  <si>
    <t>average month clustering (24hrs)</t>
  </si>
  <si>
    <t>single month clustering (24 hrs)</t>
  </si>
  <si>
    <t>single month clustering (1h)</t>
  </si>
  <si>
    <t>clustering per season (24hrs)</t>
  </si>
  <si>
    <t>Kmeans clustering on filtered data</t>
  </si>
  <si>
    <t>Cte PF over each house separately</t>
  </si>
  <si>
    <t>Cte PF over all houses</t>
  </si>
  <si>
    <t>PF-clustering on  
time series</t>
  </si>
  <si>
    <t>Cte PF over all 
houses</t>
  </si>
  <si>
    <t>N_clusters:</t>
  </si>
  <si>
    <t>Cte PF over all 
hosues</t>
  </si>
  <si>
    <t>Cte PF over each
house separately</t>
  </si>
  <si>
    <t>RMSE:</t>
  </si>
  <si>
    <t>Cte PF over each 
house separately</t>
  </si>
  <si>
    <t xml:space="preserve"> RMSE:</t>
  </si>
  <si>
    <t>4, 4, 5, 4</t>
  </si>
  <si>
    <t>Random_state</t>
  </si>
  <si>
    <t>filtered data</t>
  </si>
  <si>
    <t>#PCA-components + Correlating features</t>
  </si>
  <si>
    <t>MAE:</t>
  </si>
  <si>
    <t>Progress matrix MAE:</t>
  </si>
  <si>
    <t>Progress matrix RMSE:</t>
  </si>
  <si>
    <t>10, 10, 10, 10</t>
  </si>
  <si>
    <t>3, 4, 6, 3</t>
  </si>
  <si>
    <t>4, 3, 3, 3</t>
  </si>
  <si>
    <t>4, 4, 3, 4</t>
  </si>
  <si>
    <t>3, 4, 3, 3</t>
  </si>
  <si>
    <t>3, 3, 4, 4</t>
  </si>
  <si>
    <t xml:space="preserve">Cte PF over all 
houses </t>
  </si>
  <si>
    <t xml:space="preserve">Cte PF over all houses (basecase) </t>
  </si>
  <si>
    <t>Median RMSE K-Means:</t>
  </si>
  <si>
    <t>Median MAE k-Means:</t>
  </si>
  <si>
    <t>Median MAE improvement over basecase:</t>
  </si>
  <si>
    <t>Median RMSE improvement over basecase:</t>
  </si>
  <si>
    <t>Lower quartile RMSE:</t>
  </si>
  <si>
    <t>Lower quartile RMSE improvement over basecase:</t>
  </si>
  <si>
    <t>Higher quartile RMSE:</t>
  </si>
  <si>
    <t>Higher quartile RMSE improvement over basecase:</t>
  </si>
  <si>
    <t xml:space="preserve"> MAE:</t>
  </si>
  <si>
    <t>Mean improvement year</t>
  </si>
  <si>
    <t>Mean improvement month</t>
  </si>
  <si>
    <t xml:space="preserve">Mean improvement seasonal </t>
  </si>
  <si>
    <t>RMSE</t>
  </si>
  <si>
    <t>Mean improvement 15-min</t>
  </si>
  <si>
    <t>Mean improvement 1 hour</t>
  </si>
  <si>
    <t>Mean improvement 1 day</t>
  </si>
  <si>
    <t>RMSE 15-min</t>
  </si>
  <si>
    <t>RMSE 1 hour</t>
  </si>
  <si>
    <t>RMSE 1 day</t>
  </si>
  <si>
    <t>Mean improvement PF-time clustering</t>
  </si>
  <si>
    <t>Mean improvement PQ-features</t>
  </si>
  <si>
    <t>Mean improvement PQSPF-features</t>
  </si>
  <si>
    <t>Mean improvement PQ-features with PCA</t>
  </si>
  <si>
    <t>Mean improvement PQSPF-features with PCA</t>
  </si>
  <si>
    <t>Mean improvement features using Pearson</t>
  </si>
  <si>
    <t>Mean improvement features using PCA</t>
  </si>
  <si>
    <t>PF = 0.95</t>
  </si>
  <si>
    <t>PF = 0.96</t>
  </si>
  <si>
    <t>PF=0.96</t>
  </si>
  <si>
    <t>3, 3, 3, 3</t>
  </si>
  <si>
    <t>4, 3, 3, 4</t>
  </si>
  <si>
    <t>3, 4, 4, 4</t>
  </si>
  <si>
    <t>3, 5, 5, 3</t>
  </si>
  <si>
    <t>3, 4, 5, 4</t>
  </si>
  <si>
    <t>3, 5, 6, 4</t>
  </si>
  <si>
    <t>3, 4, 4, 3</t>
  </si>
  <si>
    <t>3, 5, 3, 3</t>
  </si>
  <si>
    <t>2, 3, 4, 3</t>
  </si>
  <si>
    <t>3, 3, 5, 5</t>
  </si>
  <si>
    <t>0, 2, 2, 2</t>
  </si>
  <si>
    <t>3, 0, 0, 0</t>
  </si>
  <si>
    <t>1, 0, 0, 1</t>
  </si>
  <si>
    <t>0, 5, 6, 1</t>
  </si>
  <si>
    <t>4, 2, 0, 0</t>
  </si>
  <si>
    <t>0, 2, 14, 5</t>
  </si>
  <si>
    <t>0, 0, 2, 0</t>
  </si>
  <si>
    <t>2, 1, 6, 15</t>
  </si>
  <si>
    <t>5, 21, 14, 15</t>
  </si>
  <si>
    <t>0, 1, 0, 0</t>
  </si>
  <si>
    <t>0, 2, 5, 2</t>
  </si>
  <si>
    <t>1, 5, 2, 9</t>
  </si>
  <si>
    <t>0, 17, 2, 3</t>
  </si>
  <si>
    <t>Spring_P_min, Fall_P_min, Winter_P_min, Fall_P_median, Winter_P_median, Winter_P_iqr, Fall_P_skew, Summer_P_kurt, Fall_P_kurt, Winter_P_kurt, Spring_Q_min, Fall_Q_min, Winter_Q_min, Summer_Q_median, Fall_Q_median, Spring_Q_kurt</t>
  </si>
  <si>
    <t>Spring_P_min, Fall_P_min, Winter_P_min, Fall_P_median, Winter_P_median, Winter_P_iqr, Fall_P_skew, Summer_P_kurt, Fall_P_kurt, Winter_P_kurt, Spring_Q_min, Fall_Q_min, Winter_Q_min, Summer_Q_median, Fall_Q_median, Spring_Q_kurt, Spring_PF_mean, Fall_PF_mean, Spring_PF_std, Fall_PF_std, Winter_PF_std, Winter_PF_max, Summer_PF_min, Spring_PF_min, Fall_PF_min, Winter_PF_min, Summer_PF_median, Fall_PF_median, Summer_PF_iqr, Spring_PF_iqr, Fall_PF_iqr, Winter_S_mean, Summer_S_std, Spring_S_std, Fall_S_std, Winter_S_std, Summer_S_max, Spring_S_max, Fall_S_max, Winter_S_max, Spring_S_min, Fall_S_min, Winter_S_min, Spring_S_median, Fall_S_median, Winter_S_median, Summer_S_iqr, Spring_S_iqr, Fall_S_iqr, Winter_S_iqr, Summer_S_skew, Winter_S_skew, Summer_S_kurt, Spring_S_kurt, Fall_S_kurt, Winter_S_kurt</t>
  </si>
  <si>
    <t>Spring_P_min, Fall_P_min, Winter_P_min, Winter_P_median, Summer_P_iqr, Spring_P_iqr, Winter_P_iqr, Summer_P_kurt, Spring_Q_min, Fall_Q_min, Winter_Q_min, Summer_Q_median, Spring_Q_median, Fall_Q_median, Winter_Q_median, Spring_Q_kurt, Fall_Q_kurt</t>
  </si>
  <si>
    <t>Spring_P_min, Fall_P_min, Winter_P_min, Winter_P_median, Summer_P_iqr, Spring_P_iqr, Winter_P_iqr, Summer_P_kurt, Spring_Q_min, Fall_Q_min, Winter_Q_min, Summer_Q_median, Spring_Q_median, Fall_Q_median, Winter_Q_median, Spring_Q_kurt, Fall_Q_kurt, Spring_PF_mean, Fall_PF_mean, Spring_PF_std, Fall_PF_std, Winter_PF_std, Spring_PF_max, Fall_PF_max, Summer_PF_min, Spring_PF_min, Fall_PF_min, Winter_PF_min, Summer_PF_median, Summer_PF_iqr, Spring_PF_iqr, Fall_PF_iqr, Winter_S_mean, Summer_S_std, Spring_S_std, Fall_S_std, Winter_S_std, Summer_S_max, Spring_S_max, Fall_S_max, Winter_S_max, Spring_S_min, Fall_S_min, Spring_S_median, Fall_S_median, Winter_S_median, Summer_S_iqr, Spring_S_iqr, Fall_S_iqr, Winter_S_iqr, Summer_S_skew, Winter_S_skew, Summer_S_kurt, Spring_S_kurt, Fall_S_kurt, Winter_S_kurt</t>
  </si>
  <si>
    <t>Spring_P_max, Winter_P_max, Spring_P_min, Fall_P_min, Summer_P_median, Spring_P_median, Fall_P_median, Winter_P_median, Summer_P_iqr, Spring_P_iqr, Winter_P_iqr, Fall_P_kurt, Summer_Q_max, Fall_Q_max, Winter_Q_max, Summer_Q_min, Spring_Q_min, Fall_Q_min, Winter_Q_min, Summer_Q_median, Spring_Q_median, Fall_Q_median, Winter_Q_median, Summer_Q_iqr, Spring_Q_iqr, Fall_Q_iqr</t>
  </si>
  <si>
    <t>Spring_P_max, Winter_P_max, Spring_P_min, Fall_P_min, Summer_P_median, Spring_P_median, Fall_P_median, Winter_P_median, Summer_P_iqr, Spring_P_iqr, Winter_P_iqr, Fall_P_kurt, Summer_Q_max, Fall_Q_max, Winter_Q_max, Summer_Q_min, Spring_Q_min, Fall_Q_min, Winter_Q_min, Summer_Q_median, Spring_Q_median, Fall_Q_median, Winter_Q_median, Summer_Q_iqr, Spring_Q_iqr, Fall_Q_iqr, Spring_PF_mean, Fall_PF_mean, Spring_PF_std, Fall_PF_std, Summer_PF_max, Summer_PF_min, Spring_PF_min, Fall_PF_min, Winter_PF_min, Summer_PF_median, Spring_PF_median, Fall_PF_median, Winter_PF_median, Summer_PF_iqr, Spring_PF_iqr, Fall_PF_iqr, Winter_PF_iqr, Winter_S_mean, Summer_S_std, Spring_S_std, Fall_S_std, Winter_S_std, Summer_S_max, Spring_S_max, Fall_S_max, Winter_S_max, Fall_S_min, Summer_S_median, Fall_S_median, Winter_S_median, Summer_S_iqr, Spring_S_iqr, Winter_S_iqr, Summer_S_skew, Fall_S_skew, Winter_S_skew, Summer_S_kurt, Spring_S_kurt, Fall_S_kurt, Winter_S_kurt</t>
  </si>
  <si>
    <t>Winter_P_std, Spring_P_min, Fall_P_min, Winter_P_min, Winter_P_median, Winter_P_iqr, Summer_P_kurt, Fall_P_kurt, Winter_P_kurt, Fall_Q_min, Winter_Q_min, Summer_Q_median, Spring_Q_kurt, Fall_Q_kurt</t>
  </si>
  <si>
    <t>Winter_P_std, Spring_P_min, Fall_P_min, Winter_P_min, Winter_P_median, Winter_P_iqr, Summer_P_kurt, Fall_P_kurt, Winter_P_kurt, Fall_Q_min, Winter_Q_min, Summer_Q_median, Spring_Q_kurt, Fall_Q_kurt, Spring_PF_mean, Spring_PF_std, Fall_PF_std, Winter_PF_std, Winter_PF_max, Spring_PF_min, Fall_PF_min, Winter_PF_min, Summer_PF_median, Summer_PF_iqr, Spring_PF_iqr, Fall_S_mean, Winter_S_mean, Summer_S_std, Spring_S_std, Fall_S_std, Winter_S_std, Summer_S_max, Spring_S_max, Fall_S_max, Winter_S_max, Winter_S_min, Spring_S_median, Fall_S_median, Winter_S_median, Summer_S_iqr, Spring_S_iqr, Fall_S_iqr, Winter_S_iqr, Summer_S_skew, Spring_S_skew, Winter_S_skew, Summer_S_kurt, Spring_S_kurt, Fall_S_kurt, Winter_S_kurt</t>
  </si>
  <si>
    <t>Winter_P_std, Spring_P_min, Fall_P_min, Winter_P_min, Spring_P_median, Winter_P_median, Spring_P_iqr, Winter_P_iqr, Summer_P_kurt, Winter_P_kurt, Fall_Q_min, Winter_Q_min, Summer_Q_median, Winter_Q_median, Spring_Q_kurt, Fall_Q_kurt</t>
  </si>
  <si>
    <t>Spring_P_min, Fall_P_min, Winter_P_min, Spring_P_median, Winter_P_median, Summer_P_iqr, Spring_P_iqr, Fall_P_iqr, Winter_P_iqr, Summer_P_kurt, Spring_P_kurt, Winter_P_kurt, Fall_Q_max, Spring_Q_min, Fall_Q_min, Winter_Q_min, Summer_Q_median, Spring_Q_median, Fall_Q_median, Winter_Q_median, Spring_Q_iqr, Spring_Q_kurt, Spring_PF_mean, Fall_PF_mean, Spring_PF_std, Fall_PF_std, Winter_PF_std, Summer_PF_min, Spring_PF_min, Fall_PF_min, Winter_PF_min, Summer_PF_median, Winter_PF_median, Summer_PF_iqr, Spring_PF_iqr, Fall_PF_iqr, Spring_PF_kurt, Spring_S_mean, Winter_S_mean, Summer_S_std, Spring_S_std, Fall_S_std, Winter_S_std, Summer_S_max, Spring_S_max, Fall_S_max, Winter_S_max, Spring_S_median, Fall_S_median, Winter_S_median, Summer_S_iqr, Spring_S_iqr, Fall_S_iqr, Winter_S_iqr, Summer_S_skew, Winter_S_skew, Summer_S_kurt, Spring_S_kurt, Fall_S_kurt, Winter_S_kurt</t>
  </si>
  <si>
    <t>Spring_P_max, Fall_P_max, Winter_P_max, Summer_P_min, Fall_P_min, Summer_P_median, Spring_P_median, Fall_P_median, Winter_P_median, Summer_P_iqr, Spring_P_iqr, Fall_P_iqr, Winter_P_iqr, Summer_Q_max, Spring_Q_max, Fall_Q_max, Summer_Q_min, Spring_Q_min, Fall_Q_min, Winter_Q_min, Summer_Q_median, Spring_Q_median, Fall_Q_median, Winter_Q_median, Summer_Q_iqr, Fall_Q_iqr, Winter_Q_iqr</t>
  </si>
  <si>
    <t>Spring_P_max, Fall_P_max, Winter_P_max, Summer_P_min, Fall_P_min, Summer_P_median, Spring_P_median, Fall_P_median, Winter_P_median, Summer_P_iqr, Spring_P_iqr, Fall_P_iqr, Winter_P_iqr, Summer_Q_max, Spring_Q_max, Fall_Q_max, Summer_Q_min, Spring_Q_min, Fall_Q_min, Winter_Q_min, Summer_Q_median, Spring_Q_median, Fall_Q_median, Winter_Q_median, Summer_Q_iqr, Fall_Q_iqr, Winter_Q_iqr, Spring_PF_mean, Fall_PF_mean, Summer_PF_max, Spring_PF_max, Fall_PF_max, Summer_PF_min, Spring_PF_min, Fall_PF_min, Summer_PF_median, Spring_PF_median, Fall_PF_median, Winter_PF_median, Summer_PF_iqr, Fall_PF_iqr, Winter_PF_iqr, Spring_S_mean, Winter_S_mean, Summer_S_std, Spring_S_std, Fall_S_std, Winter_S_std, Summer_S_max, Spring_S_max, Fall_S_max, Winter_S_max, Winter_S_min, Summer_S_median, Spring_S_median, Fall_S_median, Winter_S_median, Summer_S_iqr, Spring_S_iqr, Fall_S_iqr, Winter_S_iqr, Summer_S_skew, Spring_S_skew, Winter_S_skew, Summer_S_kurt, Spring_S_kurt, Winter_S_kurt</t>
  </si>
  <si>
    <t>Summer_P_kurt, Summer_Q_median /  / Winter_P_median, Winter_P_iqr, Winter_P_kurt / Spring_Q_kurt</t>
  </si>
  <si>
    <t>Summer_P_kurt, Summer_Q_median, Summer_PF_min, Summer_PF_median, Summer_PF_iqr, Summer_S_std, Summer_S_max, Summer_S_iqr, Summer_S_skew, Summer_S_kurt / Fall_PF_min, Fall_PF_iqr, Fall_S_std, Fall_S_max, Fall_S_median, Fall_S_iqr, Fall_S_kurt / Winter_P_median, Winter_P_iqr, Winter_P_kurt, Winter_PF_min, Winter_S_mean, Winter_S_std, Winter_S_max, Winter_S_median, Winter_S_iqr, Winter_S_skew, Winter_S_kurt / Spring_Q_kurt, Spring_PF_min, Spring_PF_iqr, Spring_S_std, Spring_S_max, Spring_S_median, Spring_S_iqr, Spring_S_kurt</t>
  </si>
  <si>
    <t>Summer_P_iqr, Summer_P_kurt, Summer_Q_median / Fall_Q_median, Fall_Q_kurt / Winter_P_median, Winter_P_iqr, Winter_Q_median / Spring_P_iqr, Spring_Q_median, Spring_Q_kurt</t>
  </si>
  <si>
    <t>Summer_P_iqr, Summer_P_kurt, Summer_Q_median, Summer_PF_min, Summer_PF_median, Summer_PF_iqr, Summer_S_std, Summer_S_max, Summer_S_iqr, Summer_S_skew, Summer_S_kurt / Fall_Q_median, Fall_Q_kurt, Fall_PF_min, Fall_PF_iqr, Fall_S_std, Fall_S_max, Fall_S_median, Fall_S_iqr, Fall_S_kurt / Winter_P_median, Winter_P_iqr, Winter_Q_median, Winter_PF_min, Winter_S_mean, Winter_S_std, Winter_S_max, Winter_S_median, Winter_S_iqr, Winter_S_skew, Winter_S_kurt / Spring_P_iqr, Spring_Q_median, Spring_Q_kurt, Spring_PF_max, Spring_PF_min, Spring_PF_iqr, Spring_S_std, Spring_S_max, Spring_S_median, Spring_S_iqr, Spring_S_kurt</t>
  </si>
  <si>
    <t>Summer_P_median, Summer_P_iqr, Summer_Q_max, Summer_Q_min, Summer_Q_median, Summer_Q_iqr / Fall_P_median, Fall_P_kurt, Fall_Q_max, Fall_Q_min, Fall_Q_median, Fall_Q_iqr / Winter_P_max, Winter_P_median, Winter_P_iqr, Winter_Q_max, Winter_Q_min, Winter_Q_median / Spring_P_max, Spring_P_median, Spring_P_iqr, Spring_Q_median, Spring_Q_iqr</t>
  </si>
  <si>
    <t>Summer_P_median, Summer_P_iqr, Summer_Q_max, Summer_Q_min, Summer_Q_median, Summer_Q_iqr, Summer_PF_max, Summer_PF_min, Summer_PF_median, Summer_PF_iqr, Summer_S_std, Summer_S_max, Summer_S_median, Summer_S_iqr, Summer_S_skew, Summer_S_kurt / Fall_P_median, Fall_P_kurt, Fall_Q_max, Fall_Q_min, Fall_Q_median, Fall_Q_iqr, Fall_PF_min, Fall_PF_median, Fall_PF_iqr, Fall_S_std, Fall_S_max, Fall_S_median, Fall_S_skew, Fall_S_kurt / Winter_P_max, Winter_P_median, Winter_P_iqr, Winter_Q_max, Winter_Q_min, Winter_Q_median, Winter_PF_median, Winter_PF_iqr, Winter_S_mean, Winter_S_std, Winter_S_max, Winter_S_median, Winter_S_iqr, Winter_S_skew, Winter_S_kurt / Spring_P_max, Spring_P_median, Spring_P_iqr, Spring_Q_median, Spring_Q_iqr, Spring_PF_min, Spring_PF_median, Spring_PF_iqr, Spring_S_std, Spring_S_max, Spring_S_iqr, Spring_S_kurt</t>
  </si>
  <si>
    <t>Median RMSE hierarchical:</t>
  </si>
  <si>
    <t>Median MAE hierarchical:</t>
  </si>
  <si>
    <t>Upper quartile RMSE improvement over basecase:</t>
  </si>
  <si>
    <t>Silhouette score RMSE: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</si>
</sst>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5" fillId="0" borderId="0" xfId="1" applyNumberFormat="1" applyFont="1" applyAlignment="1">
      <alignment horizontal="center"/>
    </xf>
    <xf numFmtId="0" fontId="0" fillId="0" borderId="0" xfId="0" applyAlignment="1">
      <alignment horizontal="center" vertical="top"/>
    </xf>
    <xf numFmtId="0" fontId="2" fillId="2" borderId="0" xfId="0" applyFont="1" applyFill="1"/>
    <xf numFmtId="0" fontId="0" fillId="4" borderId="3" xfId="0" applyFill="1" applyBorder="1"/>
    <xf numFmtId="0" fontId="0" fillId="0" borderId="3" xfId="0" applyBorder="1"/>
    <xf numFmtId="0" fontId="1" fillId="3" borderId="2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164" fontId="0" fillId="4" borderId="1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0" fontId="0" fillId="0" borderId="3" xfId="0" applyBorder="1" applyAlignment="1">
      <alignment wrapText="1"/>
    </xf>
    <xf numFmtId="165" fontId="0" fillId="4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4" borderId="2" xfId="0" applyNumberFormat="1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2">
    <cellStyle name="Procent" xfId="1" builtinId="5"/>
    <cellStyle name="Standaard" xfId="0" builtinId="0"/>
  </cellStyles>
  <dxfs count="158"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fill>
        <patternFill patternType="solid">
          <fgColor indexed="64"/>
          <bgColor theme="3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4" formatCode="0.00%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numFmt numFmtId="165" formatCode="0.000"/>
      <alignment horizontal="center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BC55"/>
      <color rgb="FFEB2B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DA7AF-DC96-4AED-AD0A-98F2E72FCA7A}" name="Tabel17151723242562" displayName="Tabel17151723242562" ref="B4:G13" totalsRowShown="0" headerRowDxfId="157">
  <autoFilter ref="B4:G13" xr:uid="{C78DA7AF-DC96-4AED-AD0A-98F2E72FCA7A}"/>
  <tableColumns count="6">
    <tableColumn id="1" xr3:uid="{507C8F8D-22BB-4324-ACFB-AF83E0FA528A}" name="KMeans clustering on filtered data"/>
    <tableColumn id="4" xr3:uid="{965C82AC-9E8C-40CB-93EB-35A2F432052A}" name="PF-clustering on  time series" dataDxfId="156"/>
    <tableColumn id="6" xr3:uid="{E9B57224-152E-4EE0-954D-F7A20C4E8DDF}" name="P,Q-clustering on features " dataDxfId="155"/>
    <tableColumn id="8" xr3:uid="{84E2BCBA-8B2C-4B0F-ACBE-9E72EACF82DA}" name="P, Q, S, PF-clustering on features" dataDxfId="154"/>
    <tableColumn id="7" xr3:uid="{55CF78CF-D93B-4646-9923-1A328B973814}" name="P, Q-clustering using PCA on features" dataDxfId="153"/>
    <tableColumn id="9" xr3:uid="{1C15300A-0FA2-430B-9AD6-B3F1079AC0C3}" name="P,Q,S,PF-clustering using PCA on features" dataDxfId="15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728870-0F6F-46B1-98C9-56D03788C5E4}" name="Tabel17151723113" displayName="Tabel17151723113" ref="B17:G26" totalsRowShown="0" headerRowDxfId="151">
  <autoFilter ref="B17:G26" xr:uid="{32728870-0F6F-46B1-98C9-56D03788C5E4}"/>
  <tableColumns count="6">
    <tableColumn id="1" xr3:uid="{1335D931-A57A-40CD-9B65-AAD92C6971C6}" name="Hierarchical clustering on filtered data"/>
    <tableColumn id="4" xr3:uid="{E63949BE-F476-43A7-B287-79261F88A05E}" name="PF-clustering on  time series" dataDxfId="150"/>
    <tableColumn id="6" xr3:uid="{DEA9AC31-9C87-4D93-AE00-56AD50C2D996}" name="P,Q-clustering on features " dataDxfId="149"/>
    <tableColumn id="8" xr3:uid="{51358480-2788-4019-9B0D-B3CDC23D122A}" name="P, Q, S, PF-clustering on features" dataDxfId="148"/>
    <tableColumn id="7" xr3:uid="{F6E5EC46-FF8E-456A-BDFD-CEFBA770C5E0}" name="P, Q-clustering using PCA on features" dataDxfId="147"/>
    <tableColumn id="9" xr3:uid="{B12998D2-5C88-4435-9066-6258FB3E48AF}" name="P,Q,S,PF-clustering using PCA on features" dataDxfId="1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F8056C-6119-40B7-AF93-F8FD4913E3CF}" name="Tabel1715172324252512134" displayName="Tabel1715172324252512134" ref="I4:N13" totalsRowShown="0" headerRowDxfId="145">
  <autoFilter ref="I4:N13" xr:uid="{56F8056C-6119-40B7-AF93-F8FD4913E3CF}"/>
  <tableColumns count="6">
    <tableColumn id="1" xr3:uid="{17906749-D6CB-4B27-8761-F553428BBB2B}" name="KMeans clustering on filtered data"/>
    <tableColumn id="4" xr3:uid="{73D197A9-7BF5-48EA-9A43-E99F520B160E}" name="PF-clustering on  _x000a_time series" dataDxfId="144"/>
    <tableColumn id="6" xr3:uid="{79928E7B-F76F-4D6A-95F0-EB3EE6724788}" name="P,Q-clustering on features " dataDxfId="143"/>
    <tableColumn id="8" xr3:uid="{57454BC9-2881-468A-9788-766AC7335264}" name="P, Q, S, PF-clustering on features" dataDxfId="142"/>
    <tableColumn id="7" xr3:uid="{DF18D0EE-C8FB-4F0C-850F-93B858EDC68B}" name="P, Q-clustering using PCA on features" dataDxfId="141"/>
    <tableColumn id="9" xr3:uid="{5D450B70-B302-48A5-8E6B-8E920F605D53}" name="P,Q,S,PF-clustering using PCA on features" dataDxfId="14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98C054-5364-4D49-8923-2727B5935F43}" name="Tabel171517232425251213295" displayName="Tabel171517232425251213295" ref="B30:G39" totalsRowShown="0" headerRowDxfId="139">
  <autoFilter ref="B30:G39" xr:uid="{7C98C054-5364-4D49-8923-2727B5935F43}"/>
  <tableColumns count="6">
    <tableColumn id="1" xr3:uid="{C05B135A-84F4-4E45-849B-33C2A0E56B70}" name="filtered data"/>
    <tableColumn id="4" xr3:uid="{7F8B4E38-DDFE-4442-A4FE-9017A9B6FBE3}" name="PF-clustering on  _x000a_time series" dataDxfId="138"/>
    <tableColumn id="6" xr3:uid="{BDA6F22E-F5F5-4AAC-89DE-E75B5F4E6AEF}" name="P,Q-clustering on features " dataDxfId="137"/>
    <tableColumn id="8" xr3:uid="{CD1BFD96-4E8F-402D-8564-C9135755E30D}" name="P, Q, S, PF-clustering on features" dataDxfId="136"/>
    <tableColumn id="7" xr3:uid="{28F07531-EF0E-4F7A-81EE-9A7B4909D196}" name="P, Q-clustering using PCA on features" dataDxfId="135"/>
    <tableColumn id="9" xr3:uid="{443C6A0D-FEB1-4B82-95F4-11694ADC2A0F}" name="P,Q,S,PF-clustering using PCA on features" dataDxfId="13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239FB1-CE3B-4AB8-911E-1CDD37E84A72}" name="Tabel1314169" displayName="Tabel1314169" ref="B4:I13" totalsRowShown="0" headerRowDxfId="133">
  <autoFilter ref="B4:I13" xr:uid="{DB239FB1-CE3B-4AB8-911E-1CDD37E84A72}"/>
  <tableColumns count="8">
    <tableColumn id="1" xr3:uid="{C006541A-C8D5-44AB-AA51-5A686BBECBAC}" name="KMeans clustering on filtered data"/>
    <tableColumn id="2" xr3:uid="{F36DA630-5ADF-48F7-BC7B-B9A63CA9DF87}" name="Cte PF over all houses (basecase)" dataDxfId="132"/>
    <tableColumn id="11" xr3:uid="{1FDFCA47-DA62-4FD3-8450-5277CA21CE80}" name="Cte PF over each house separately" dataDxfId="131"/>
    <tableColumn id="4" xr3:uid="{A153F75A-E69C-4D20-BA9F-F2F6FF7E853C}" name="PF-clustering on  time series" dataDxfId="130" dataCellStyle="Procent"/>
    <tableColumn id="6" xr3:uid="{6219B428-C2EF-40CF-8EE3-081CC1E693B2}" name="P,Q-clustering on features " dataDxfId="129" dataCellStyle="Procent"/>
    <tableColumn id="8" xr3:uid="{743FBA9A-8E2E-48B0-8AD4-C253D33699F0}" name="P, Q, S, PF-clustering on features" dataDxfId="128" dataCellStyle="Procent"/>
    <tableColumn id="7" xr3:uid="{445D267A-02AB-47B0-8711-2DB3C4B5FDDE}" name="P, Q-clustering using PCA on features" dataDxfId="127" dataCellStyle="Procent"/>
    <tableColumn id="9" xr3:uid="{386F5825-4845-4860-8FA8-2FBFE27EE626}" name="P,Q,S,PF-clustering using PCA on features" dataDxfId="126" dataCellStyle="Pro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AC88F72-7CF5-4A35-B3DF-4031BED38A2D}" name="Tabel17151719" displayName="Tabel17151719" ref="B30:G39" totalsRowShown="0" headerRowDxfId="125">
  <autoFilter ref="B30:G39" xr:uid="{CAC88F72-7CF5-4A35-B3DF-4031BED38A2D}"/>
  <tableColumns count="6">
    <tableColumn id="1" xr3:uid="{54C6B923-7214-4928-8516-B638698F08D8}" name="KMeans clustering on filtered data"/>
    <tableColumn id="4" xr3:uid="{FD2A9259-8554-4C8B-9DBE-4971FAC7EBC8}" name="PF-clustering on  time series" dataDxfId="124"/>
    <tableColumn id="6" xr3:uid="{837A9F79-68DE-44BF-996F-633FAAFDFF3D}" name="P,Q-clustering on features " dataDxfId="123"/>
    <tableColumn id="8" xr3:uid="{D9C4DAA5-EB78-4DC0-8F5A-779234BDE8FC}" name="P, Q, S, PF-clustering on features" dataDxfId="122"/>
    <tableColumn id="7" xr3:uid="{88653D11-A171-4487-9346-911C8DEF4340}" name="P, Q-clustering using PCA on features" dataDxfId="121"/>
    <tableColumn id="9" xr3:uid="{4821B2BA-6B40-455E-8927-003A8DA3F448}" name="P,Q,S,PF-clustering using PCA on features" dataDxfId="12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1E7C18F-8DE0-4140-8F1F-9E71A200888B}" name="Tabel131416924" displayName="Tabel131416924" ref="B17:I26" totalsRowShown="0" headerRowDxfId="119">
  <autoFilter ref="B17:I26" xr:uid="{11E7C18F-8DE0-4140-8F1F-9E71A200888B}"/>
  <tableColumns count="8">
    <tableColumn id="1" xr3:uid="{AAC3C58C-88E3-46AF-A34E-AEEA87D2A7D7}" name="KMeans clustering on filtered data"/>
    <tableColumn id="2" xr3:uid="{1B89F6E1-4517-4FDA-997F-B8D3B8D01625}" name="Cte PF over all houses (basecase)" dataDxfId="118"/>
    <tableColumn id="11" xr3:uid="{287E8D30-BDEE-4D05-8D50-10569C941C90}" name="Cte PF over each house separately" dataDxfId="117"/>
    <tableColumn id="4" xr3:uid="{5A6E1A3F-D6A4-4F2B-9878-22749C8278EF}" name="PF-clustering on  time series" dataDxfId="116" dataCellStyle="Procent"/>
    <tableColumn id="6" xr3:uid="{9F0D6935-4B1E-45FF-91BD-6E098B72102A}" name="P,Q-clustering on features " dataDxfId="115" dataCellStyle="Procent"/>
    <tableColumn id="8" xr3:uid="{E400B1FA-D9A0-499E-9645-5BEADAB0FD32}" name="P, Q, S, PF-clustering on features" dataDxfId="114" dataCellStyle="Procent"/>
    <tableColumn id="7" xr3:uid="{44D65C79-51C7-4ED9-B70F-6FB61AC8B883}" name="P, Q-clustering using PCA on features" dataDxfId="113" dataCellStyle="Procent"/>
    <tableColumn id="9" xr3:uid="{AC2AE7E4-ADBE-4833-B9AE-6ACEC370B357}" name="P,Q,S,PF-clustering using PCA on features" dataDxfId="112" dataCellStyle="Proce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C5814F7-5001-4787-B04B-8C8A68DFEAA2}" name="Tabel131439" displayName="Tabel131439" ref="B4:I13" totalsRowShown="0" headerRowDxfId="111">
  <autoFilter ref="B4:I13" xr:uid="{9C5814F7-5001-4787-B04B-8C8A68DFEAA2}"/>
  <tableColumns count="8">
    <tableColumn id="1" xr3:uid="{6AE27C8E-6D37-455A-B0A9-AF459119A59F}" name="Hierarchical clustering on filtered data"/>
    <tableColumn id="2" xr3:uid="{178DFD76-0056-4805-A639-CB2ED40E35FD}" name="Cte PF over all houses (basecase)" dataDxfId="110"/>
    <tableColumn id="11" xr3:uid="{D3AAD8EF-1180-49D8-8AD5-7AB0A95D3B5A}" name="Cte PF over each house separately" dataDxfId="109"/>
    <tableColumn id="4" xr3:uid="{3C496000-F0C1-4E91-8B13-7B7BA27D32D5}" name="PF-clustering on  _x000a_time series" dataDxfId="108" dataCellStyle="Procent"/>
    <tableColumn id="6" xr3:uid="{6438815A-3C71-44A1-A43E-AE49FFD370E2}" name="P,Q-clustering on features " dataDxfId="107" dataCellStyle="Procent"/>
    <tableColumn id="8" xr3:uid="{D22F8851-9095-4CEB-A241-066C286FAC78}" name="P, Q, S, PF-clustering on features" dataDxfId="106" dataCellStyle="Procent"/>
    <tableColumn id="7" xr3:uid="{4E69C4E5-3498-4C88-90EC-C13027E96020}" name="P, Q-clustering using PCA on features" dataDxfId="105" dataCellStyle="Procent"/>
    <tableColumn id="9" xr3:uid="{CCC61182-47C8-4EBB-8FAC-35DC6E61FDEF}" name="P,Q,S,PF-clustering using PCA on features" dataDxfId="104" dataCellStyle="Pro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95554196-3522-4B9A-A5E1-4EDF951B2212}" name="Tabel171517212240" displayName="Tabel171517212240" ref="K4:R13" totalsRowShown="0" headerRowDxfId="103">
  <autoFilter ref="K4:R13" xr:uid="{95554196-3522-4B9A-A5E1-4EDF951B2212}"/>
  <tableColumns count="8">
    <tableColumn id="1" xr3:uid="{E13943C5-9029-4012-A5CF-F42D1C7EFAF8}" name="Hierarchical clustering on filtered data"/>
    <tableColumn id="11" xr3:uid="{41695005-3DFB-4D8F-ACC1-20959095E82D}" name="Cte PF over all houses" dataDxfId="102"/>
    <tableColumn id="2" xr3:uid="{7CED762D-C803-4887-866D-910EA61B4C53}" name="Cte PF over each _x000a_house separately" dataDxfId="101"/>
    <tableColumn id="4" xr3:uid="{6DF760E9-829E-46D6-B1FB-AA0DB4D33A61}" name="PF-clustering on  time series" dataDxfId="100"/>
    <tableColumn id="6" xr3:uid="{178BDACB-2040-4D38-99F7-E7BB9DF23901}" name="P,Q-clustering on features " dataDxfId="99"/>
    <tableColumn id="8" xr3:uid="{50568E21-B015-42BF-87FB-D630EE10C9E9}" name="P, Q, S, PF-clustering on features" dataDxfId="98"/>
    <tableColumn id="7" xr3:uid="{46AE7A5B-E142-48ED-ACF4-1F29255F8E37}" name="P, Q-clustering using PCA on features" dataDxfId="97"/>
    <tableColumn id="9" xr3:uid="{3FC4069D-3E96-4C65-8EAF-31A8E1A5C37C}" name="P,Q,S,PF-clustering using PCA on features" dataDxfId="9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DEC312E5-DA24-4820-B0DC-E5FD0ADE3325}" name="Tabel13143941" displayName="Tabel13143941" ref="B17:I26" totalsRowShown="0" headerRowDxfId="95">
  <autoFilter ref="B17:I26" xr:uid="{DEC312E5-DA24-4820-B0DC-E5FD0ADE3325}"/>
  <tableColumns count="8">
    <tableColumn id="1" xr3:uid="{B3C0075F-9075-4850-928B-0471122D3499}" name="Hierarchical clustering on filtered data"/>
    <tableColumn id="2" xr3:uid="{09ACB856-2707-4988-A3DA-53460FC198AF}" name="Cte PF over all houses (basecase)" dataDxfId="94"/>
    <tableColumn id="11" xr3:uid="{D152FAF4-DEF8-410F-8401-B73426F302F4}" name="Cte PF over each house separately" dataDxfId="93"/>
    <tableColumn id="4" xr3:uid="{7226B644-65A6-4925-B1E9-B647298D5A8C}" name="PF-clustering on  _x000a_time series" dataDxfId="92" dataCellStyle="Procent"/>
    <tableColumn id="6" xr3:uid="{6EA0F662-42A8-4BE4-8F92-40BE75A76D49}" name="P,Q-clustering on features " dataDxfId="91" dataCellStyle="Procent"/>
    <tableColumn id="8" xr3:uid="{FC573E85-47E1-4DAF-97E0-692B9E3D3597}" name="P, Q, S, PF-clustering on features" dataDxfId="90" dataCellStyle="Procent"/>
    <tableColumn id="7" xr3:uid="{08A9260A-BA1E-41F8-A2A7-327D57C9D5B4}" name="P, Q-clustering using PCA on features" dataDxfId="89" dataCellStyle="Procent"/>
    <tableColumn id="9" xr3:uid="{91E03DC2-F092-47BC-83BF-CEA1CD144ABA}" name="P,Q,S,PF-clustering using PCA on features" dataDxfId="88" dataCellStyle="Proce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DC5F648-9149-46C2-B467-BD4F4935319D}" name="Tabel17151721224042" displayName="Tabel17151721224042" ref="K17:R26" totalsRowShown="0" headerRowDxfId="87">
  <autoFilter ref="K17:R26" xr:uid="{4DC5F648-9149-46C2-B467-BD4F4935319D}"/>
  <tableColumns count="8">
    <tableColumn id="1" xr3:uid="{0FBB95AB-CA55-48A8-BBC1-61BCFB2450A8}" name="Hierarchical clustering on filtered data"/>
    <tableColumn id="11" xr3:uid="{A8D2F20A-6A94-4903-AD68-4835063AF1D4}" name="Cte PF over all houses" dataDxfId="86"/>
    <tableColumn id="2" xr3:uid="{BC2C7531-2655-4138-8AD3-21BA7BC5D122}" name="Cte PF over each _x000a_house separately" dataDxfId="85"/>
    <tableColumn id="4" xr3:uid="{98EDF180-280D-4FD4-A3D7-715E0127FEBE}" name="PF-clustering on  time series" dataDxfId="84"/>
    <tableColumn id="6" xr3:uid="{2B4E0260-2139-42BD-B9CD-9CAD8CAB8ED3}" name="P,Q-clustering on features " dataDxfId="83"/>
    <tableColumn id="8" xr3:uid="{A4FBEF66-56A4-4263-9BBA-D4382047CD7D}" name="P, Q, S, PF-clustering on features" dataDxfId="82"/>
    <tableColumn id="7" xr3:uid="{81C1E64A-6443-46C5-AAEC-7A4EE4C6C09C}" name="P, Q-clustering using PCA on features" dataDxfId="81"/>
    <tableColumn id="9" xr3:uid="{45B3CE11-A5A9-48D1-8509-4581BA0227BD}" name="P,Q,S,PF-clustering using PCA on features" dataDxfId="80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ED25EC4E-0A42-4E01-B076-E91BAFC0011F}" name="Tabel171543" displayName="Tabel171543" ref="B30:G39" totalsRowShown="0" headerRowDxfId="79">
  <autoFilter ref="B30:G39" xr:uid="{ED25EC4E-0A42-4E01-B076-E91BAFC0011F}"/>
  <tableColumns count="6">
    <tableColumn id="1" xr3:uid="{66B8E2D4-9E17-46AF-A7D2-4EAE6B7C0E60}" name="Hierarchical clustering on filtered data"/>
    <tableColumn id="4" xr3:uid="{EFD9463C-DC0A-42FD-BADA-08612CC4ED2E}" name="PF-clustering on  time series" dataDxfId="78"/>
    <tableColumn id="6" xr3:uid="{71936CDA-6743-4AB3-B32C-58FBAAF5B370}" name="P,Q-clustering on features " dataDxfId="77"/>
    <tableColumn id="8" xr3:uid="{B81F8230-55B0-429F-85C9-88C5394D0539}" name="P, Q, S, PF-clustering on features" dataDxfId="76"/>
    <tableColumn id="7" xr3:uid="{F351C766-1410-4CB7-9F9A-527382DCA08B}" name="P, Q-clustering using PCA on features" dataDxfId="75"/>
    <tableColumn id="9" xr3:uid="{9F675619-665A-4081-89CD-F218A8E655FA}" name="P,Q,S,PF-clustering using PCA on features" dataDxfId="7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1807C0-F55E-4393-B845-A3A8530402DC}" name="Tabel131416181920128" displayName="Tabel131416181920128" ref="B4:I13" totalsRowShown="0" headerRowDxfId="73">
  <autoFilter ref="B4:I13" xr:uid="{CC1807C0-F55E-4393-B845-A3A8530402DC}"/>
  <tableColumns count="8">
    <tableColumn id="1" xr3:uid="{A05126BC-F5AE-437F-8882-D2F7EB6D7E46}" name="Kmeans clustering on filtered data"/>
    <tableColumn id="2" xr3:uid="{3D9192BA-DAC7-44F1-935D-AF3E997C0E2E}" name="Cte PF over all houses (basecase)" dataDxfId="72"/>
    <tableColumn id="11" xr3:uid="{E2F60C50-7264-473B-9473-ED75E072DE58}" name="Cte PF over each house separately" dataDxfId="71"/>
    <tableColumn id="3" xr3:uid="{B02FB948-01AC-47FC-8EF1-C39DED254DA7}" name="PF-clustering on  time series" dataDxfId="70" dataCellStyle="Procent"/>
    <tableColumn id="4" xr3:uid="{8868B392-37A1-4899-88AD-19743865D57D}" name="P,Q-clustering on features " dataDxfId="69" dataCellStyle="Procent"/>
    <tableColumn id="6" xr3:uid="{8D8893DC-4A20-4B62-9AB3-0F6FB82560E5}" name="P, Q, S, PF-clustering on features" dataDxfId="68" dataCellStyle="Procent"/>
    <tableColumn id="8" xr3:uid="{FCF3D615-8401-4B53-8250-5853CCDF1511}" name="P, Q-clustering using PCA on features" dataDxfId="67" dataCellStyle="Procent"/>
    <tableColumn id="13" xr3:uid="{676C5013-38D0-400F-80A9-13C5A117F2D6}" name="P,Q,S,PF-clustering using PCA on features" dataDxfId="66" dataCellStyle="Proc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7709070-941A-40F0-99D5-98CC004611E3}" name="Tabel13141618192027" displayName="Tabel13141618192027" ref="B17:I26" totalsRowShown="0" headerRowDxfId="65">
  <autoFilter ref="B17:I26" xr:uid="{C7709070-941A-40F0-99D5-98CC004611E3}"/>
  <tableColumns count="8">
    <tableColumn id="1" xr3:uid="{C2E19A06-AA27-4878-B147-78ED62641951}" name="Kmeans clustering on filtered data"/>
    <tableColumn id="2" xr3:uid="{CC69F028-DC11-4F77-8224-DD846A315E54}" name="Cte PF over all houses (basecase) " dataDxfId="64"/>
    <tableColumn id="11" xr3:uid="{4CD7962E-F2B9-4F1C-BF04-1498C7E88EEE}" name="Cte PF over each house separately" dataDxfId="63"/>
    <tableColumn id="4" xr3:uid="{046B94DD-9F85-4B14-8A0A-AED808E31636}" name="PF-clustering on  time series" dataDxfId="62" dataCellStyle="Procent"/>
    <tableColumn id="6" xr3:uid="{2789BD1A-47A7-4F1D-9FB5-FE9DD8F96235}" name="P,Q-clustering on features " dataDxfId="61" dataCellStyle="Procent"/>
    <tableColumn id="8" xr3:uid="{7CB1FA98-4EA7-4344-9AAE-BB9487D2261C}" name="P, Q, S, PF-clustering on features" dataDxfId="60" dataCellStyle="Procent"/>
    <tableColumn id="7" xr3:uid="{E6C3F5E6-2EE3-4756-B8FD-2B269F2E8862}" name="P, Q-clustering using PCA on features" dataDxfId="59" dataCellStyle="Procent"/>
    <tableColumn id="9" xr3:uid="{9C351689-B16E-4540-9A6C-514AAADEAF03}" name="P,Q,S,PF-clustering using PCA on features" dataDxfId="58" dataCellStyle="Proc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04D2F9A-9E6F-4EAB-AEA2-ED2515C01F19}" name="Tabel17151723242572631" displayName="Tabel17151723242572631" ref="K4:R13" totalsRowShown="0" headerRowDxfId="57">
  <autoFilter ref="K4:R13" xr:uid="{704D2F9A-9E6F-4EAB-AEA2-ED2515C01F19}"/>
  <tableColumns count="8">
    <tableColumn id="1" xr3:uid="{FF66D8D6-943B-4610-9FBC-482D1895BF3A}" name="KMeans clustering on filtered data"/>
    <tableColumn id="11" xr3:uid="{30350189-536F-47AA-9681-840ADC14E6B6}" name="Cte PF over all _x000a_houses "/>
    <tableColumn id="2" xr3:uid="{16F173A8-ECD4-4D57-B52C-1F023DFE2A1D}" name="Cte PF over each_x000a_house separately" dataDxfId="56"/>
    <tableColumn id="4" xr3:uid="{D64A8E84-1B5C-4BBA-9E06-6395F2BF73BF}" name="PF-clustering on  time series" dataDxfId="55"/>
    <tableColumn id="6" xr3:uid="{473D9EEF-8E91-43F6-AF3C-4F812ABFC932}" name="P,Q-clustering on features " dataDxfId="54"/>
    <tableColumn id="8" xr3:uid="{754D5E6D-A2A1-4D73-8FB7-7F08D8E41F3F}" name="P, Q, S, PF-clustering on features" dataDxfId="53"/>
    <tableColumn id="7" xr3:uid="{03A0FB65-4B1E-433C-97DF-A2F57D9BA1A8}" name="P, Q-clustering using PCA on features" dataDxfId="52"/>
    <tableColumn id="9" xr3:uid="{B2F34F59-5042-486F-AAFC-FCECBB47F0CE}" name="P,Q,S,PF-clustering using PCA on features" dataDxfId="5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B4D71D9-A00E-4BD0-B21A-467EC1B1E8C6}" name="Tabel171517232425732" displayName="Tabel171517232425732" ref="K17:R26" totalsRowShown="0" headerRowDxfId="50">
  <autoFilter ref="K17:R26" xr:uid="{EB4D71D9-A00E-4BD0-B21A-467EC1B1E8C6}"/>
  <tableColumns count="8">
    <tableColumn id="1" xr3:uid="{472FA75F-DF08-4E9B-A405-14CB6B6DFE74}" name="KMeans clustering on filtered data"/>
    <tableColumn id="11" xr3:uid="{81746B12-CFF1-4568-8CE7-A9F55EB2C3D1}" name="Cte PF over all _x000a_hosues"/>
    <tableColumn id="2" xr3:uid="{630D4C5E-D088-4A14-AD4F-37394FCABF8F}" name="Cte PF over each_x000a_house separately" dataDxfId="49"/>
    <tableColumn id="4" xr3:uid="{9BCBA23E-2E1A-4026-B560-F8A52E2CA4C5}" name="PF-clustering on  time series" dataDxfId="48" dataCellStyle="Procent"/>
    <tableColumn id="6" xr3:uid="{D36DA1EE-1307-45E8-81F4-42670804BD89}" name="P,Q-clustering on features " dataDxfId="47"/>
    <tableColumn id="8" xr3:uid="{4A506656-AC40-4EAE-809C-3C7A4367AFEF}" name="P, Q, S, PF-clustering on features" dataDxfId="46"/>
    <tableColumn id="7" xr3:uid="{B86A9CF7-2644-4DE8-BDEF-842FD08E2A47}" name="P, Q-clustering using PCA on features" dataDxfId="45"/>
    <tableColumn id="9" xr3:uid="{DFA1A5A7-2627-4D97-85FB-18A86B9E7F19}" name="P,Q,S,PF-clustering using PCA on features" dataDxfId="4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2E45F95-69B2-4264-8AEC-1F20FCC5D3E3}" name="Tabel17151723242533" displayName="Tabel17151723242533" ref="B30:G39" totalsRowShown="0" headerRowDxfId="43">
  <autoFilter ref="B30:G39" xr:uid="{82E45F95-69B2-4264-8AEC-1F20FCC5D3E3}"/>
  <tableColumns count="6">
    <tableColumn id="1" xr3:uid="{F940879C-34F5-4DA3-A3F8-705A78BFC169}" name="KMeans clustering on filtered data"/>
    <tableColumn id="4" xr3:uid="{9DC708D8-CB85-446C-B2A6-4E736D3BC0E0}" name="PF-clustering on  time series" dataDxfId="42"/>
    <tableColumn id="6" xr3:uid="{9DF926CB-110F-4D59-A85D-8FA1D9FFD5DC}" name="P,Q-clustering on features " dataDxfId="41"/>
    <tableColumn id="8" xr3:uid="{E9662FBC-72E3-4DC6-BEA6-0D5DCE47C9C6}" name="P, Q, S, PF-clustering on features" dataDxfId="40"/>
    <tableColumn id="7" xr3:uid="{1316CB4F-1396-4369-88CF-C5764BE2E84F}" name="P, Q-clustering using PCA on features" dataDxfId="39"/>
    <tableColumn id="9" xr3:uid="{E3251099-B42E-41F8-9106-97E4A52EAC16}" name="P,Q,S,PF-clustering using PCA on features" dataDxfId="3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2734268-B5B7-4C8C-8271-BAEA8B63683B}" name="Tabel131416182834" displayName="Tabel131416182834" ref="B4:I13" totalsRowShown="0" headerRowDxfId="37">
  <autoFilter ref="B4:I13" xr:uid="{42734268-B5B7-4C8C-8271-BAEA8B63683B}"/>
  <tableColumns count="8">
    <tableColumn id="1" xr3:uid="{07526C6F-00FE-46C4-9885-3400456E08B4}" name="Hierarchical clustering on filtered data"/>
    <tableColumn id="2" xr3:uid="{C8B8AE83-D855-4B71-8D5C-E497CD03FAD1}" name="Cte PF over all houses (basecase)" dataDxfId="36"/>
    <tableColumn id="11" xr3:uid="{A2CD640B-1FF1-406D-ADF8-9EF8DCFBD3BA}" name="Cte PF over each house separately" dataDxfId="35"/>
    <tableColumn id="4" xr3:uid="{BD34512F-D845-4931-8AC7-F98836BEB014}" name="PF-clustering on  time series" dataDxfId="34" dataCellStyle="Procent"/>
    <tableColumn id="6" xr3:uid="{46F42490-E922-4739-97B6-C633D1AC1F26}" name="P,Q-clustering on features " dataDxfId="33" dataCellStyle="Procent"/>
    <tableColumn id="8" xr3:uid="{EBECAD23-C755-473C-B24F-3F178ABFAD09}" name="P, Q, S, PF-clustering on features" dataDxfId="32" dataCellStyle="Procent"/>
    <tableColumn id="7" xr3:uid="{C3F4F147-9846-4F77-9B71-A01DFA021E40}" name="P, Q-clustering using PCA on features" dataDxfId="31" dataCellStyle="Procent"/>
    <tableColumn id="9" xr3:uid="{B8EC88BD-CB45-477A-B2B7-6611CE2865AF}" name="P,Q,S,PF-clustering using PCA on features" dataDxfId="30" dataCellStyle="Procen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5637CD7-DE5C-4250-BBD3-A9919D9AC1C4}" name="Tabel1314161835" displayName="Tabel1314161835" ref="B17:I26" totalsRowShown="0" headerRowDxfId="29">
  <autoFilter ref="B17:I26" xr:uid="{05637CD7-DE5C-4250-BBD3-A9919D9AC1C4}"/>
  <tableColumns count="8">
    <tableColumn id="1" xr3:uid="{DAD206A2-FFA2-4FE8-AA2B-93333283340B}" name="Hierarchical clustering on filtered data"/>
    <tableColumn id="2" xr3:uid="{E87E7225-0B82-488F-95A9-34CFCCC819D6}" name="Cte PF over all houses (basecase)" dataDxfId="28"/>
    <tableColumn id="11" xr3:uid="{20A87632-92E3-4FF1-8D58-90D83EEB79F2}" name="Cte PF over each house separately" dataDxfId="27"/>
    <tableColumn id="4" xr3:uid="{BC752CC0-623E-40C6-8C7A-94CC36AA8D27}" name="PF-clustering on  time series" dataDxfId="26" dataCellStyle="Procent"/>
    <tableColumn id="6" xr3:uid="{F7CCC84B-A544-4154-BB74-8BC6D2126A4A}" name="P,Q-clustering on features " dataDxfId="25" dataCellStyle="Procent"/>
    <tableColumn id="8" xr3:uid="{3D13124E-D5DB-4DD8-90C3-B603C3A77957}" name="P, Q, S, PF-clustering on features" dataDxfId="24" dataCellStyle="Procent"/>
    <tableColumn id="7" xr3:uid="{B4BDBE96-6E37-4DD8-9F22-3B5491CFA500}" name="P, Q-clustering using PCA on features" dataDxfId="23" dataCellStyle="Procent"/>
    <tableColumn id="9" xr3:uid="{BD8E0E9D-209D-451F-A181-E49DA3837405}" name="P,Q,S,PF-clustering using PCA on features" dataDxfId="22" dataCellStyle="Procen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688D0EE7-C8FF-4FE9-9411-4893B290E723}" name="Tabel171517233036" displayName="Tabel171517233036" ref="K4:R13" totalsRowShown="0" headerRowDxfId="21">
  <autoFilter ref="K4:R13" xr:uid="{688D0EE7-C8FF-4FE9-9411-4893B290E723}"/>
  <tableColumns count="8">
    <tableColumn id="1" xr3:uid="{C922002C-6D97-4F54-9115-E36A273FC474}" name="Hierarchical clustering on filtered data"/>
    <tableColumn id="11" xr3:uid="{92DDE9AE-2594-4FCC-9C6C-206634337D37}" name="Cte PF over all _x000a_houses" dataDxfId="20"/>
    <tableColumn id="2" xr3:uid="{93F532B7-CB3E-4D06-96FA-40878D6203B6}" name="Cte PF over each_x000a_house separately" dataDxfId="19"/>
    <tableColumn id="4" xr3:uid="{7322CDDB-9863-4124-A9CB-CB5992C429CA}" name="PF-clustering on  time series" dataDxfId="18"/>
    <tableColumn id="6" xr3:uid="{D418EAAF-5452-42B9-AED6-BE27EF72D385}" name="P,Q-clustering on features " dataDxfId="17"/>
    <tableColumn id="8" xr3:uid="{9B4F2882-C8CF-478D-8F7D-30FE51680FB2}" name="P, Q, S, PF-clustering on features" dataDxfId="16"/>
    <tableColumn id="7" xr3:uid="{F5D29DFD-60CD-4FE9-AD75-244FEAC18631}" name="P, Q-clustering using PCA on features" dataDxfId="15"/>
    <tableColumn id="9" xr3:uid="{2AED19FF-092E-4FF3-8D57-7F476BD226EE}" name="P,Q,S,PF-clustering using PCA on features" dataDxfId="14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35DF7C0-9B98-46CF-93EC-960A44C39F1A}" name="Tabel1715172337" displayName="Tabel1715172337" ref="K17:R26" totalsRowShown="0" headerRowDxfId="13">
  <autoFilter ref="K17:R26" xr:uid="{635DF7C0-9B98-46CF-93EC-960A44C39F1A}"/>
  <tableColumns count="8">
    <tableColumn id="1" xr3:uid="{18474133-5277-4C20-AC39-80CF84B474AE}" name="Hierarchical clustering on filtered data"/>
    <tableColumn id="11" xr3:uid="{EF005948-52AA-44FF-A88F-81019E3D516D}" name="Cte PF over all _x000a_houses" dataDxfId="12"/>
    <tableColumn id="2" xr3:uid="{7D77FE03-E482-460C-814A-445732983A7C}" name="Cte PF over each_x000a_house separately" dataDxfId="11"/>
    <tableColumn id="4" xr3:uid="{0D2D05C3-548A-4260-BE6A-F7D3E8D98A4A}" name="PF-clustering on  time series" dataDxfId="10"/>
    <tableColumn id="6" xr3:uid="{97C123CF-E3B1-4A28-9FE1-ECA59106EFD0}" name="P,Q-clustering on features " dataDxfId="9"/>
    <tableColumn id="8" xr3:uid="{F3618021-2CB0-4E55-B3C9-B44AACF69EE7}" name="P, Q, S, PF-clustering on features" dataDxfId="8"/>
    <tableColumn id="7" xr3:uid="{4C50D0AF-F260-4DAD-A0A7-4C3B8247934E}" name="P, Q-clustering using PCA on features" dataDxfId="7"/>
    <tableColumn id="9" xr3:uid="{7CAE8E6D-5AC0-44EB-B478-3EB7B80C375F}" name="P,Q,S,PF-clustering using PCA on features" dataDxfId="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66709FBB-2116-440C-8D29-94C9934382E1}" name="Tabel171517231038" displayName="Tabel171517231038" ref="B30:G39" totalsRowShown="0" headerRowDxfId="5">
  <autoFilter ref="B30:G39" xr:uid="{66709FBB-2116-440C-8D29-94C9934382E1}"/>
  <tableColumns count="6">
    <tableColumn id="1" xr3:uid="{3D9F1A6E-EBAB-4502-A642-03D635C6B77F}" name="Hierarchical clustering on filtered data"/>
    <tableColumn id="4" xr3:uid="{A3545B9C-F773-4590-BD94-03C976D7A736}" name="PF-clustering on  time series" dataDxfId="4"/>
    <tableColumn id="6" xr3:uid="{6E7222FA-92FD-44F9-8E5F-B6D102D7DA90}" name="P,Q-clustering on features " dataDxfId="3"/>
    <tableColumn id="8" xr3:uid="{354D79D2-E726-435D-BF7C-7961B55ADC26}" name="P, Q, S, PF-clustering on features" dataDxfId="2"/>
    <tableColumn id="7" xr3:uid="{7BB8128E-C6F6-42F6-9E4A-9AACBEED8EFA}" name="P, Q-clustering using PCA on features" dataDxfId="1"/>
    <tableColumn id="9" xr3:uid="{DD30659D-D116-4196-ADDD-F8285B99AF43}" name="P,Q,S,PF-clustering using PCA on featur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ADD81-95FE-4435-AC76-8EE647462CB5}">
  <dimension ref="B3:N39"/>
  <sheetViews>
    <sheetView zoomScale="65" workbookViewId="0">
      <selection activeCell="F37" sqref="F37"/>
    </sheetView>
  </sheetViews>
  <sheetFormatPr defaultRowHeight="14.4" x14ac:dyDescent="0.3"/>
  <cols>
    <col min="2" max="2" width="34.33203125" customWidth="1"/>
    <col min="3" max="3" width="27.33203125" customWidth="1"/>
    <col min="4" max="4" width="23" customWidth="1"/>
    <col min="5" max="5" width="20.6640625" customWidth="1"/>
    <col min="6" max="6" width="23.109375" customWidth="1"/>
    <col min="7" max="7" width="20.44140625" customWidth="1"/>
    <col min="9" max="9" width="41.88671875" customWidth="1"/>
    <col min="10" max="10" width="16.33203125" customWidth="1"/>
    <col min="11" max="11" width="15" customWidth="1"/>
    <col min="12" max="12" width="16" customWidth="1"/>
    <col min="13" max="13" width="14.77734375" customWidth="1"/>
    <col min="14" max="14" width="19.88671875" customWidth="1"/>
  </cols>
  <sheetData>
    <row r="3" spans="2:14" x14ac:dyDescent="0.3">
      <c r="C3" s="32" t="s">
        <v>23</v>
      </c>
      <c r="D3" s="32"/>
      <c r="E3" s="32"/>
      <c r="F3" s="32"/>
      <c r="G3" s="32"/>
      <c r="J3" s="32" t="s">
        <v>30</v>
      </c>
      <c r="K3" s="32"/>
      <c r="L3" s="32"/>
      <c r="M3" s="32"/>
      <c r="N3" s="32"/>
    </row>
    <row r="4" spans="2:14" ht="43.2" x14ac:dyDescent="0.3">
      <c r="B4" s="6" t="s">
        <v>6</v>
      </c>
      <c r="C4" s="1" t="s">
        <v>1</v>
      </c>
      <c r="D4" s="7" t="s">
        <v>2</v>
      </c>
      <c r="E4" s="7" t="s">
        <v>3</v>
      </c>
      <c r="F4" s="2" t="s">
        <v>4</v>
      </c>
      <c r="G4" s="2" t="s">
        <v>5</v>
      </c>
      <c r="I4" s="6" t="s">
        <v>6</v>
      </c>
      <c r="J4" s="2" t="s">
        <v>21</v>
      </c>
      <c r="K4" s="7" t="s">
        <v>2</v>
      </c>
      <c r="L4" s="7" t="s">
        <v>3</v>
      </c>
      <c r="M4" s="2" t="s">
        <v>4</v>
      </c>
      <c r="N4" s="2" t="s">
        <v>5</v>
      </c>
    </row>
    <row r="5" spans="2:14" x14ac:dyDescent="0.3">
      <c r="B5" t="s">
        <v>8</v>
      </c>
      <c r="C5" s="13">
        <v>4</v>
      </c>
      <c r="D5" s="13">
        <v>3</v>
      </c>
      <c r="E5" s="13">
        <v>4</v>
      </c>
      <c r="F5" s="13">
        <v>3</v>
      </c>
      <c r="G5" s="13">
        <v>3</v>
      </c>
      <c r="I5" t="s">
        <v>8</v>
      </c>
      <c r="J5" s="13">
        <v>2</v>
      </c>
      <c r="K5" s="13">
        <v>0</v>
      </c>
      <c r="L5" s="13">
        <v>4</v>
      </c>
      <c r="M5" s="13">
        <v>1</v>
      </c>
      <c r="N5" s="13">
        <v>1</v>
      </c>
    </row>
    <row r="6" spans="2:14" x14ac:dyDescent="0.3">
      <c r="B6" t="s">
        <v>9</v>
      </c>
      <c r="C6" s="13">
        <v>3</v>
      </c>
      <c r="D6" s="13">
        <v>3</v>
      </c>
      <c r="E6" s="13">
        <v>3</v>
      </c>
      <c r="F6" s="13">
        <v>4</v>
      </c>
      <c r="G6" s="13">
        <v>3</v>
      </c>
      <c r="I6" t="s">
        <v>9</v>
      </c>
      <c r="J6" s="13">
        <v>0</v>
      </c>
      <c r="K6" s="13">
        <v>0</v>
      </c>
      <c r="L6" s="13">
        <v>1</v>
      </c>
      <c r="M6" s="13">
        <v>2</v>
      </c>
      <c r="N6" s="13">
        <v>0</v>
      </c>
    </row>
    <row r="7" spans="2:14" x14ac:dyDescent="0.3">
      <c r="B7" t="s">
        <v>10</v>
      </c>
      <c r="C7" s="13">
        <v>3</v>
      </c>
      <c r="D7" s="13">
        <v>4</v>
      </c>
      <c r="E7" s="13">
        <v>4</v>
      </c>
      <c r="F7" s="13">
        <v>4</v>
      </c>
      <c r="G7" s="13">
        <v>4</v>
      </c>
      <c r="I7" t="s">
        <v>10</v>
      </c>
      <c r="J7" s="13">
        <v>0</v>
      </c>
      <c r="K7" s="13">
        <v>4</v>
      </c>
      <c r="L7" s="13">
        <v>3</v>
      </c>
      <c r="M7" s="13">
        <v>1</v>
      </c>
      <c r="N7" s="13">
        <v>17</v>
      </c>
    </row>
    <row r="8" spans="2:14" x14ac:dyDescent="0.3">
      <c r="B8" s="5" t="s">
        <v>11</v>
      </c>
      <c r="C8" s="13">
        <v>4</v>
      </c>
      <c r="D8" s="13">
        <v>3</v>
      </c>
      <c r="E8" s="13">
        <v>5</v>
      </c>
      <c r="F8" s="13">
        <v>4</v>
      </c>
      <c r="G8" s="13">
        <v>4</v>
      </c>
      <c r="I8" s="5" t="s">
        <v>11</v>
      </c>
      <c r="J8" s="13">
        <v>1</v>
      </c>
      <c r="K8" s="13">
        <v>0</v>
      </c>
      <c r="L8" s="13">
        <v>1</v>
      </c>
      <c r="M8" s="15">
        <v>2</v>
      </c>
      <c r="N8" s="15">
        <v>0</v>
      </c>
    </row>
    <row r="9" spans="2:14" x14ac:dyDescent="0.3">
      <c r="B9" t="s">
        <v>16</v>
      </c>
      <c r="C9" s="13">
        <v>4</v>
      </c>
      <c r="D9" s="13">
        <v>4</v>
      </c>
      <c r="E9" s="13">
        <v>3</v>
      </c>
      <c r="F9" s="13">
        <v>4</v>
      </c>
      <c r="G9" s="13">
        <v>3</v>
      </c>
      <c r="I9" t="s">
        <v>16</v>
      </c>
      <c r="J9" s="13">
        <v>0</v>
      </c>
      <c r="K9" s="13">
        <v>4</v>
      </c>
      <c r="L9" s="13">
        <v>2</v>
      </c>
      <c r="M9" s="13">
        <v>4</v>
      </c>
      <c r="N9" s="13">
        <v>0</v>
      </c>
    </row>
    <row r="10" spans="2:14" x14ac:dyDescent="0.3">
      <c r="B10" t="s">
        <v>15</v>
      </c>
      <c r="C10" s="13">
        <v>3</v>
      </c>
      <c r="D10" s="13">
        <v>6</v>
      </c>
      <c r="E10" s="13">
        <v>4</v>
      </c>
      <c r="F10" s="13">
        <v>4</v>
      </c>
      <c r="G10" s="13">
        <v>5</v>
      </c>
      <c r="I10" t="s">
        <v>15</v>
      </c>
      <c r="J10" s="13">
        <v>0</v>
      </c>
      <c r="K10" s="13">
        <v>12</v>
      </c>
      <c r="L10" s="13">
        <v>22</v>
      </c>
      <c r="M10" s="13">
        <v>21</v>
      </c>
      <c r="N10" s="13">
        <v>9</v>
      </c>
    </row>
    <row r="11" spans="2:14" x14ac:dyDescent="0.3">
      <c r="B11" t="s">
        <v>12</v>
      </c>
      <c r="C11" s="13" t="s">
        <v>40</v>
      </c>
      <c r="D11" s="13" t="s">
        <v>73</v>
      </c>
      <c r="E11" s="13" t="s">
        <v>74</v>
      </c>
      <c r="F11" s="13" t="s">
        <v>73</v>
      </c>
      <c r="G11" s="13" t="s">
        <v>74</v>
      </c>
      <c r="I11" t="s">
        <v>12</v>
      </c>
      <c r="J11" s="13" t="s">
        <v>83</v>
      </c>
      <c r="K11" s="13" t="s">
        <v>84</v>
      </c>
      <c r="L11" s="13" t="s">
        <v>85</v>
      </c>
      <c r="M11" s="13" t="s">
        <v>84</v>
      </c>
      <c r="N11" s="13" t="s">
        <v>85</v>
      </c>
    </row>
    <row r="12" spans="2:14" x14ac:dyDescent="0.3">
      <c r="B12" t="s">
        <v>13</v>
      </c>
      <c r="C12" s="13" t="s">
        <v>75</v>
      </c>
      <c r="D12" s="13" t="s">
        <v>38</v>
      </c>
      <c r="E12" s="13" t="s">
        <v>76</v>
      </c>
      <c r="F12" s="13" t="s">
        <v>73</v>
      </c>
      <c r="G12" s="13" t="s">
        <v>78</v>
      </c>
      <c r="I12" t="s">
        <v>13</v>
      </c>
      <c r="J12" s="13" t="s">
        <v>86</v>
      </c>
      <c r="K12" s="13" t="s">
        <v>87</v>
      </c>
      <c r="L12" s="13" t="s">
        <v>88</v>
      </c>
      <c r="M12" s="13" t="s">
        <v>92</v>
      </c>
      <c r="N12" s="13" t="s">
        <v>93</v>
      </c>
    </row>
    <row r="13" spans="2:14" x14ac:dyDescent="0.3">
      <c r="B13" t="s">
        <v>17</v>
      </c>
      <c r="C13" s="13" t="s">
        <v>77</v>
      </c>
      <c r="D13" s="13" t="s">
        <v>75</v>
      </c>
      <c r="E13" s="13" t="s">
        <v>41</v>
      </c>
      <c r="F13" s="13" t="s">
        <v>37</v>
      </c>
      <c r="G13" s="13" t="s">
        <v>39</v>
      </c>
      <c r="I13" t="s">
        <v>17</v>
      </c>
      <c r="J13" s="13" t="s">
        <v>89</v>
      </c>
      <c r="K13" s="13" t="s">
        <v>90</v>
      </c>
      <c r="L13" s="13" t="s">
        <v>91</v>
      </c>
      <c r="M13" s="13" t="s">
        <v>94</v>
      </c>
      <c r="N13" s="13" t="s">
        <v>95</v>
      </c>
    </row>
    <row r="16" spans="2:14" x14ac:dyDescent="0.3">
      <c r="C16" s="32" t="s">
        <v>23</v>
      </c>
      <c r="D16" s="32"/>
      <c r="E16" s="32"/>
      <c r="F16" s="32"/>
      <c r="G16" s="32"/>
    </row>
    <row r="17" spans="2:7" ht="28.8" x14ac:dyDescent="0.3">
      <c r="B17" s="6" t="s">
        <v>7</v>
      </c>
      <c r="C17" s="1" t="s">
        <v>1</v>
      </c>
      <c r="D17" s="7" t="s">
        <v>2</v>
      </c>
      <c r="E17" s="7" t="s">
        <v>3</v>
      </c>
      <c r="F17" s="2" t="s">
        <v>4</v>
      </c>
      <c r="G17" s="2" t="s">
        <v>5</v>
      </c>
    </row>
    <row r="18" spans="2:7" x14ac:dyDescent="0.3">
      <c r="B18" t="s">
        <v>8</v>
      </c>
      <c r="C18" s="13">
        <v>4</v>
      </c>
      <c r="D18" s="13">
        <v>3</v>
      </c>
      <c r="E18" s="13">
        <v>3</v>
      </c>
      <c r="F18" s="13">
        <v>4</v>
      </c>
      <c r="G18" s="13">
        <v>3</v>
      </c>
    </row>
    <row r="19" spans="2:7" x14ac:dyDescent="0.3">
      <c r="B19" t="s">
        <v>9</v>
      </c>
      <c r="C19" s="13">
        <v>3</v>
      </c>
      <c r="D19" s="13">
        <v>3</v>
      </c>
      <c r="E19" s="13">
        <v>3</v>
      </c>
      <c r="F19" s="13">
        <v>4</v>
      </c>
      <c r="G19" s="13">
        <v>4</v>
      </c>
    </row>
    <row r="20" spans="2:7" x14ac:dyDescent="0.3">
      <c r="B20" t="s">
        <v>10</v>
      </c>
      <c r="C20" s="13">
        <v>4</v>
      </c>
      <c r="D20" s="13">
        <v>3</v>
      </c>
      <c r="E20" s="13">
        <v>4</v>
      </c>
      <c r="F20" s="13">
        <v>4</v>
      </c>
      <c r="G20" s="13">
        <v>3</v>
      </c>
    </row>
    <row r="21" spans="2:7" x14ac:dyDescent="0.3">
      <c r="B21" s="5" t="s">
        <v>11</v>
      </c>
      <c r="C21" s="13">
        <v>4</v>
      </c>
      <c r="D21" s="13">
        <v>3</v>
      </c>
      <c r="E21" s="13">
        <v>5</v>
      </c>
      <c r="F21" s="13">
        <v>4</v>
      </c>
      <c r="G21" s="13">
        <v>4</v>
      </c>
    </row>
    <row r="22" spans="2:7" x14ac:dyDescent="0.3">
      <c r="B22" t="s">
        <v>16</v>
      </c>
      <c r="C22" s="13">
        <v>4</v>
      </c>
      <c r="D22" s="13">
        <v>3</v>
      </c>
      <c r="E22" s="13">
        <v>3</v>
      </c>
      <c r="F22" s="13">
        <v>4</v>
      </c>
      <c r="G22" s="13">
        <v>3</v>
      </c>
    </row>
    <row r="23" spans="2:7" x14ac:dyDescent="0.3">
      <c r="B23" t="s">
        <v>15</v>
      </c>
      <c r="C23" s="13">
        <v>3</v>
      </c>
      <c r="D23" s="13">
        <v>5</v>
      </c>
      <c r="E23" s="13">
        <v>3</v>
      </c>
      <c r="F23" s="13">
        <v>4</v>
      </c>
      <c r="G23" s="13">
        <v>4</v>
      </c>
    </row>
    <row r="24" spans="2:7" x14ac:dyDescent="0.3">
      <c r="B24" t="s">
        <v>12</v>
      </c>
      <c r="C24" s="13" t="s">
        <v>73</v>
      </c>
      <c r="D24" s="13" t="s">
        <v>73</v>
      </c>
      <c r="E24" s="13" t="s">
        <v>74</v>
      </c>
      <c r="F24" s="13" t="s">
        <v>40</v>
      </c>
      <c r="G24" s="13" t="s">
        <v>74</v>
      </c>
    </row>
    <row r="25" spans="2:7" x14ac:dyDescent="0.3">
      <c r="B25" t="s">
        <v>13</v>
      </c>
      <c r="C25" s="13" t="s">
        <v>79</v>
      </c>
      <c r="D25" s="13" t="s">
        <v>73</v>
      </c>
      <c r="E25" s="13" t="s">
        <v>80</v>
      </c>
      <c r="F25" s="13" t="s">
        <v>73</v>
      </c>
      <c r="G25" s="13" t="s">
        <v>73</v>
      </c>
    </row>
    <row r="26" spans="2:7" x14ac:dyDescent="0.3">
      <c r="B26" t="s">
        <v>17</v>
      </c>
      <c r="C26" s="13" t="s">
        <v>29</v>
      </c>
      <c r="D26" s="13" t="s">
        <v>81</v>
      </c>
      <c r="E26" s="13" t="s">
        <v>82</v>
      </c>
      <c r="F26" s="13" t="s">
        <v>73</v>
      </c>
      <c r="G26" s="13" t="s">
        <v>40</v>
      </c>
    </row>
    <row r="29" spans="2:7" x14ac:dyDescent="0.3">
      <c r="C29" s="32" t="s">
        <v>32</v>
      </c>
      <c r="D29" s="32"/>
      <c r="E29" s="32"/>
      <c r="F29" s="32"/>
      <c r="G29" s="32"/>
    </row>
    <row r="30" spans="2:7" ht="28.8" x14ac:dyDescent="0.3">
      <c r="B30" s="6" t="s">
        <v>31</v>
      </c>
      <c r="C30" s="2" t="s">
        <v>21</v>
      </c>
      <c r="D30" s="7" t="s">
        <v>2</v>
      </c>
      <c r="E30" s="7" t="s">
        <v>3</v>
      </c>
      <c r="F30" s="2" t="s">
        <v>4</v>
      </c>
      <c r="G30" s="2" t="s">
        <v>5</v>
      </c>
    </row>
    <row r="31" spans="2:7" ht="35.4" customHeight="1" x14ac:dyDescent="0.3">
      <c r="B31" t="s">
        <v>8</v>
      </c>
      <c r="C31" s="13"/>
      <c r="D31" s="5" t="s">
        <v>96</v>
      </c>
      <c r="E31" s="5" t="s">
        <v>97</v>
      </c>
      <c r="F31" s="13">
        <v>10</v>
      </c>
      <c r="G31" s="13">
        <v>10</v>
      </c>
    </row>
    <row r="32" spans="2:7" ht="52.2" customHeight="1" x14ac:dyDescent="0.3">
      <c r="B32" t="s">
        <v>9</v>
      </c>
      <c r="C32" s="13"/>
      <c r="D32" s="5" t="s">
        <v>98</v>
      </c>
      <c r="E32" s="5" t="s">
        <v>99</v>
      </c>
      <c r="F32" s="13">
        <v>10</v>
      </c>
      <c r="G32" s="13">
        <v>10</v>
      </c>
    </row>
    <row r="33" spans="2:7" ht="55.2" customHeight="1" x14ac:dyDescent="0.3">
      <c r="B33" t="s">
        <v>10</v>
      </c>
      <c r="C33" s="13"/>
      <c r="D33" s="5" t="s">
        <v>100</v>
      </c>
      <c r="E33" s="5" t="s">
        <v>101</v>
      </c>
      <c r="F33" s="13">
        <v>10</v>
      </c>
      <c r="G33" s="13">
        <v>10</v>
      </c>
    </row>
    <row r="34" spans="2:7" ht="49.2" customHeight="1" x14ac:dyDescent="0.3">
      <c r="B34" s="5" t="s">
        <v>11</v>
      </c>
      <c r="C34" s="13"/>
      <c r="D34" s="5" t="s">
        <v>102</v>
      </c>
      <c r="E34" s="5" t="s">
        <v>103</v>
      </c>
      <c r="F34" s="15">
        <v>10</v>
      </c>
      <c r="G34" s="15">
        <v>10</v>
      </c>
    </row>
    <row r="35" spans="2:7" ht="57.6" customHeight="1" x14ac:dyDescent="0.3">
      <c r="B35" t="s">
        <v>16</v>
      </c>
      <c r="C35" s="13"/>
      <c r="D35" s="5" t="s">
        <v>104</v>
      </c>
      <c r="E35" s="5" t="s">
        <v>105</v>
      </c>
      <c r="F35" s="13">
        <v>10</v>
      </c>
      <c r="G35" s="13">
        <v>10</v>
      </c>
    </row>
    <row r="36" spans="2:7" ht="67.2" customHeight="1" x14ac:dyDescent="0.3">
      <c r="B36" t="s">
        <v>15</v>
      </c>
      <c r="C36" s="13"/>
      <c r="D36" s="5" t="s">
        <v>106</v>
      </c>
      <c r="E36" s="5" t="s">
        <v>107</v>
      </c>
      <c r="F36" s="13">
        <v>10</v>
      </c>
      <c r="G36" s="13">
        <v>10</v>
      </c>
    </row>
    <row r="37" spans="2:7" ht="61.8" customHeight="1" x14ac:dyDescent="0.3">
      <c r="B37" t="s">
        <v>12</v>
      </c>
      <c r="C37" s="13"/>
      <c r="D37" s="5" t="s">
        <v>108</v>
      </c>
      <c r="E37" s="5" t="s">
        <v>109</v>
      </c>
      <c r="F37" s="13" t="s">
        <v>36</v>
      </c>
      <c r="G37" s="13" t="s">
        <v>36</v>
      </c>
    </row>
    <row r="38" spans="2:7" ht="65.400000000000006" customHeight="1" x14ac:dyDescent="0.3">
      <c r="B38" t="s">
        <v>13</v>
      </c>
      <c r="C38" s="13"/>
      <c r="D38" s="5" t="s">
        <v>110</v>
      </c>
      <c r="E38" s="5" t="s">
        <v>111</v>
      </c>
      <c r="F38" s="13" t="s">
        <v>36</v>
      </c>
      <c r="G38" s="13" t="s">
        <v>36</v>
      </c>
    </row>
    <row r="39" spans="2:7" ht="72" customHeight="1" x14ac:dyDescent="0.3">
      <c r="B39" t="s">
        <v>17</v>
      </c>
      <c r="C39" s="13"/>
      <c r="D39" s="5" t="s">
        <v>112</v>
      </c>
      <c r="E39" s="5" t="s">
        <v>113</v>
      </c>
      <c r="F39" s="13" t="s">
        <v>36</v>
      </c>
      <c r="G39" s="13" t="s">
        <v>36</v>
      </c>
    </row>
  </sheetData>
  <mergeCells count="4">
    <mergeCell ref="C29:G29"/>
    <mergeCell ref="C3:G3"/>
    <mergeCell ref="C16:G16"/>
    <mergeCell ref="J3:N3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4458F-84D5-49C8-95DE-D7011D98E645}">
  <dimension ref="B3:W39"/>
  <sheetViews>
    <sheetView topLeftCell="A17" zoomScale="103" zoomScaleNormal="13" workbookViewId="0">
      <selection activeCell="C29" sqref="C29:G29"/>
    </sheetView>
  </sheetViews>
  <sheetFormatPr defaultRowHeight="14.4" x14ac:dyDescent="0.3"/>
  <cols>
    <col min="2" max="2" width="32.44140625" customWidth="1"/>
    <col min="3" max="3" width="19.77734375" customWidth="1"/>
    <col min="4" max="4" width="20.5546875" customWidth="1"/>
    <col min="5" max="5" width="28.6640625" customWidth="1"/>
    <col min="6" max="6" width="18.44140625" customWidth="1"/>
    <col min="7" max="7" width="20.109375" customWidth="1"/>
    <col min="8" max="8" width="15.109375" customWidth="1"/>
    <col min="9" max="9" width="15.44140625" customWidth="1"/>
    <col min="11" max="11" width="41.21875" customWidth="1"/>
    <col min="12" max="12" width="15.109375" customWidth="1"/>
    <col min="13" max="13" width="13.6640625" customWidth="1"/>
    <col min="14" max="14" width="18" customWidth="1"/>
    <col min="15" max="15" width="15.21875" customWidth="1"/>
    <col min="16" max="16" width="16.21875" customWidth="1"/>
    <col min="17" max="17" width="15" customWidth="1"/>
    <col min="18" max="18" width="15.6640625" customWidth="1"/>
  </cols>
  <sheetData>
    <row r="3" spans="2:23" x14ac:dyDescent="0.3">
      <c r="C3" s="32" t="s">
        <v>35</v>
      </c>
      <c r="D3" s="32"/>
      <c r="E3" s="32"/>
      <c r="F3" s="32"/>
      <c r="G3" s="32"/>
      <c r="H3" s="32"/>
      <c r="I3" s="32"/>
      <c r="L3" s="33" t="s">
        <v>26</v>
      </c>
      <c r="M3" s="33"/>
      <c r="N3" s="33"/>
      <c r="O3" s="33"/>
      <c r="P3" s="33"/>
      <c r="Q3" s="33"/>
      <c r="R3" s="33"/>
    </row>
    <row r="4" spans="2:23" ht="57.6" x14ac:dyDescent="0.3">
      <c r="B4" s="6" t="s">
        <v>6</v>
      </c>
      <c r="C4" s="2" t="s">
        <v>0</v>
      </c>
      <c r="D4" s="2" t="s">
        <v>19</v>
      </c>
      <c r="E4" s="1" t="s">
        <v>1</v>
      </c>
      <c r="F4" s="7" t="s">
        <v>2</v>
      </c>
      <c r="G4" s="7" t="s">
        <v>3</v>
      </c>
      <c r="H4" s="2" t="s">
        <v>4</v>
      </c>
      <c r="I4" s="2" t="s">
        <v>5</v>
      </c>
      <c r="K4" s="20" t="s">
        <v>6</v>
      </c>
      <c r="L4" s="3" t="s">
        <v>20</v>
      </c>
      <c r="M4" s="3" t="s">
        <v>27</v>
      </c>
      <c r="N4" s="21" t="s">
        <v>1</v>
      </c>
      <c r="O4" s="22" t="s">
        <v>2</v>
      </c>
      <c r="P4" s="22" t="s">
        <v>3</v>
      </c>
      <c r="Q4" s="3" t="s">
        <v>4</v>
      </c>
      <c r="R4" s="19" t="s">
        <v>5</v>
      </c>
    </row>
    <row r="5" spans="2:23" x14ac:dyDescent="0.3">
      <c r="B5" t="s">
        <v>8</v>
      </c>
      <c r="C5" s="4">
        <v>0</v>
      </c>
      <c r="D5" s="14">
        <v>0.16170000000000001</v>
      </c>
      <c r="E5" s="10">
        <v>-5.2268216439443904E-6</v>
      </c>
      <c r="F5" s="10">
        <v>1.2531263930481318E-2</v>
      </c>
      <c r="G5" s="10">
        <v>3.0781234846175343E-2</v>
      </c>
      <c r="H5" s="10">
        <v>8.8109033617854715E-3</v>
      </c>
      <c r="I5" s="10">
        <v>2.0641421185977116E-2</v>
      </c>
      <c r="K5" s="17" t="s">
        <v>8</v>
      </c>
      <c r="L5" s="26">
        <v>0.50577000000000005</v>
      </c>
      <c r="M5" s="26">
        <v>0.42399999999999999</v>
      </c>
      <c r="N5" s="26">
        <v>0.50577264356958296</v>
      </c>
      <c r="O5" s="26">
        <v>0.4994320626418805</v>
      </c>
      <c r="P5" s="26">
        <v>0.49020177485184996</v>
      </c>
      <c r="Q5" s="30">
        <v>0.50131370940670983</v>
      </c>
      <c r="R5" s="26">
        <v>0.4953301884067684</v>
      </c>
    </row>
    <row r="6" spans="2:23" x14ac:dyDescent="0.3">
      <c r="B6" t="s">
        <v>9</v>
      </c>
      <c r="C6" s="4">
        <v>0</v>
      </c>
      <c r="D6" s="14">
        <v>0.15509999999999999</v>
      </c>
      <c r="E6" s="10">
        <v>2.4856106504954623E-3</v>
      </c>
      <c r="F6" s="10">
        <v>1.0721652067159915E-2</v>
      </c>
      <c r="G6" s="10">
        <v>1.5731342975029539E-2</v>
      </c>
      <c r="H6" s="10">
        <v>4.1404812124833823E-2</v>
      </c>
      <c r="I6" s="10">
        <v>2.0641421185977116E-2</v>
      </c>
      <c r="K6" s="18" t="s">
        <v>9</v>
      </c>
      <c r="L6" s="27">
        <v>0.50577000000000005</v>
      </c>
      <c r="M6" s="27">
        <v>0.42732999999999999</v>
      </c>
      <c r="N6" s="27">
        <v>0.50451285270129897</v>
      </c>
      <c r="O6" s="27">
        <v>0.50034731003399258</v>
      </c>
      <c r="P6" s="27">
        <v>0.49781355866351934</v>
      </c>
      <c r="Q6" s="31">
        <v>0.48482868817162283</v>
      </c>
      <c r="R6" s="27">
        <v>0.4953301884067684</v>
      </c>
    </row>
    <row r="7" spans="2:23" x14ac:dyDescent="0.3">
      <c r="B7" t="s">
        <v>10</v>
      </c>
      <c r="C7" s="4">
        <v>0</v>
      </c>
      <c r="D7" s="14">
        <v>0.14940000000000001</v>
      </c>
      <c r="E7" s="10">
        <v>2.4856106504954623E-3</v>
      </c>
      <c r="F7" s="10">
        <v>9.4302895546925614E-2</v>
      </c>
      <c r="G7" s="10">
        <v>2.7095301298697083E-2</v>
      </c>
      <c r="H7" s="10">
        <v>6.6441755418859105E-2</v>
      </c>
      <c r="I7" s="10">
        <v>7.7282619523868723E-2</v>
      </c>
      <c r="K7" s="17" t="s">
        <v>10</v>
      </c>
      <c r="L7" s="26">
        <v>0.50577000000000005</v>
      </c>
      <c r="M7" s="26">
        <v>0.43021999999999999</v>
      </c>
      <c r="N7" s="26">
        <v>0.50451285270129897</v>
      </c>
      <c r="O7" s="26">
        <v>0.45807442451923147</v>
      </c>
      <c r="P7" s="26">
        <v>0.492066009462158</v>
      </c>
      <c r="Q7" s="30">
        <v>0.47216575336180366</v>
      </c>
      <c r="R7" s="26">
        <v>0.46668276952341298</v>
      </c>
      <c r="U7" s="11"/>
      <c r="V7" s="11"/>
      <c r="W7" s="11"/>
    </row>
    <row r="8" spans="2:23" ht="19.8" customHeight="1" x14ac:dyDescent="0.3">
      <c r="B8" s="5" t="s">
        <v>11</v>
      </c>
      <c r="C8" s="4">
        <v>0</v>
      </c>
      <c r="D8" s="14">
        <v>0.16170000000000001</v>
      </c>
      <c r="E8" s="10">
        <v>-5.2268216439443904E-6</v>
      </c>
      <c r="F8" s="10">
        <v>8.8109033617854715E-3</v>
      </c>
      <c r="G8" s="10">
        <v>3.4437188651405659E-2</v>
      </c>
      <c r="H8" s="10">
        <v>2.2742093291347909E-2</v>
      </c>
      <c r="I8" s="10">
        <v>3.7618451897891703E-2</v>
      </c>
      <c r="K8" s="25" t="s">
        <v>11</v>
      </c>
      <c r="L8" s="27">
        <v>0.50577000000000005</v>
      </c>
      <c r="M8" s="27">
        <v>0.42399999999999999</v>
      </c>
      <c r="N8" s="27">
        <v>0.50577264356958296</v>
      </c>
      <c r="O8" s="27">
        <v>0.50131370940670983</v>
      </c>
      <c r="P8" s="27">
        <v>0.48835270309577861</v>
      </c>
      <c r="Q8" s="31">
        <v>0.49426773147603503</v>
      </c>
      <c r="R8" s="27">
        <v>0.48674371558360335</v>
      </c>
      <c r="U8" s="11"/>
      <c r="V8" s="11"/>
      <c r="W8" s="11"/>
    </row>
    <row r="9" spans="2:23" x14ac:dyDescent="0.3">
      <c r="B9" t="s">
        <v>16</v>
      </c>
      <c r="C9" s="4">
        <v>0</v>
      </c>
      <c r="D9" s="14">
        <v>0.15509999999999999</v>
      </c>
      <c r="E9" s="10">
        <v>2.4856106504954623E-3</v>
      </c>
      <c r="F9" s="10">
        <v>5.7380950947298781E-2</v>
      </c>
      <c r="G9" s="10">
        <v>2.9190341536785791E-2</v>
      </c>
      <c r="H9" s="10">
        <v>5.7380950947298781E-2</v>
      </c>
      <c r="I9" s="10">
        <v>2.9326984311503712E-2</v>
      </c>
      <c r="K9" s="17" t="s">
        <v>16</v>
      </c>
      <c r="L9" s="26">
        <v>0.50577000000000005</v>
      </c>
      <c r="M9" s="26">
        <v>0.42732999999999999</v>
      </c>
      <c r="N9" s="26">
        <v>0.50451285270129897</v>
      </c>
      <c r="O9" s="26">
        <v>0.47674843643938475</v>
      </c>
      <c r="P9" s="26">
        <v>0.49100640096093989</v>
      </c>
      <c r="Q9" s="30">
        <v>0.47674843643938475</v>
      </c>
      <c r="R9" s="26">
        <v>0.4909372911447708</v>
      </c>
      <c r="U9" s="11"/>
      <c r="V9" s="11"/>
      <c r="W9" s="11"/>
    </row>
    <row r="10" spans="2:23" x14ac:dyDescent="0.3">
      <c r="B10" t="s">
        <v>15</v>
      </c>
      <c r="C10" s="4">
        <v>0</v>
      </c>
      <c r="D10" s="14">
        <v>0.14940000000000001</v>
      </c>
      <c r="E10" s="10">
        <v>1.2711609364314258E-3</v>
      </c>
      <c r="F10" s="10">
        <v>8.3650711462531779E-2</v>
      </c>
      <c r="G10" s="10">
        <v>6.6228831684519651E-2</v>
      </c>
      <c r="H10" s="10">
        <v>8.429931264700341E-2</v>
      </c>
      <c r="I10" s="10">
        <v>9.0793938825374565E-2</v>
      </c>
      <c r="K10" s="18" t="s">
        <v>15</v>
      </c>
      <c r="L10" s="27">
        <v>0.50577000000000005</v>
      </c>
      <c r="M10" s="27">
        <v>0.43021999999999999</v>
      </c>
      <c r="N10" s="27">
        <v>0.50512708493318115</v>
      </c>
      <c r="O10" s="27">
        <v>0.46346197966359537</v>
      </c>
      <c r="P10" s="27">
        <v>0.47227344379892056</v>
      </c>
      <c r="Q10" s="31">
        <v>0.46313393664252511</v>
      </c>
      <c r="R10" s="27">
        <v>0.45984914956029038</v>
      </c>
    </row>
    <row r="11" spans="2:23" x14ac:dyDescent="0.3">
      <c r="B11" t="s">
        <v>12</v>
      </c>
      <c r="C11" s="4">
        <v>0</v>
      </c>
      <c r="D11" s="14">
        <v>0.24540000000000001</v>
      </c>
      <c r="E11" s="10">
        <v>8.1293710219685344E-3</v>
      </c>
      <c r="F11" s="10">
        <v>1.8295201007604511E-2</v>
      </c>
      <c r="G11" s="10">
        <v>4.0005595791413717E-2</v>
      </c>
      <c r="H11" s="10">
        <v>1.8295201007604511E-2</v>
      </c>
      <c r="I11" s="10">
        <v>4.0005595791413717E-2</v>
      </c>
      <c r="K11" s="17" t="s">
        <v>12</v>
      </c>
      <c r="L11" s="27">
        <v>0.50577000000000005</v>
      </c>
      <c r="M11" s="27">
        <v>0.38163999999999998</v>
      </c>
      <c r="N11" s="27">
        <v>0.50165840801821904</v>
      </c>
      <c r="O11" s="27">
        <v>0.49651683618638393</v>
      </c>
      <c r="P11" s="27">
        <v>0.48553636981657672</v>
      </c>
      <c r="Q11" s="31">
        <v>0.49651683618638393</v>
      </c>
      <c r="R11" s="27">
        <v>0.48553636981657672</v>
      </c>
    </row>
    <row r="12" spans="2:23" x14ac:dyDescent="0.3">
      <c r="B12" t="s">
        <v>13</v>
      </c>
      <c r="C12" s="4">
        <v>0</v>
      </c>
      <c r="D12" s="14">
        <v>0.23760000000000001</v>
      </c>
      <c r="E12" s="10">
        <v>4.4694015747906546E-2</v>
      </c>
      <c r="F12" s="10">
        <v>4.6252590270704275E-2</v>
      </c>
      <c r="G12" s="10">
        <v>8.3086907832645163E-2</v>
      </c>
      <c r="H12" s="10">
        <v>4.4373790731565332E-2</v>
      </c>
      <c r="I12" s="10">
        <v>0.12166947976324716</v>
      </c>
      <c r="K12" s="18" t="s">
        <v>13</v>
      </c>
      <c r="L12" s="26">
        <v>0.50577000000000005</v>
      </c>
      <c r="M12" s="26">
        <v>0.3856</v>
      </c>
      <c r="N12" s="26">
        <v>0.48316510765518134</v>
      </c>
      <c r="O12" s="26">
        <v>0.48237682741878596</v>
      </c>
      <c r="P12" s="26">
        <v>0.46374713462548312</v>
      </c>
      <c r="Q12" s="30">
        <v>0.48332706786169627</v>
      </c>
      <c r="R12" s="26">
        <v>0.44423322722014252</v>
      </c>
    </row>
    <row r="13" spans="2:23" x14ac:dyDescent="0.3">
      <c r="B13" t="s">
        <v>17</v>
      </c>
      <c r="C13" s="4">
        <v>0</v>
      </c>
      <c r="D13" s="14">
        <v>0.2303</v>
      </c>
      <c r="E13" s="10">
        <v>0.12320212447490353</v>
      </c>
      <c r="F13" s="10">
        <v>0.14768793111276235</v>
      </c>
      <c r="G13" s="10">
        <v>8.2815046936918213E-2</v>
      </c>
      <c r="H13" s="10">
        <v>0.20103606729814494</v>
      </c>
      <c r="I13" s="10">
        <v>0.15954448834192914</v>
      </c>
      <c r="K13" s="17" t="s">
        <v>17</v>
      </c>
      <c r="L13" s="27">
        <v>0.50577000000000005</v>
      </c>
      <c r="M13" s="27">
        <v>0.38929000000000002</v>
      </c>
      <c r="N13" s="27">
        <v>0.44345806150432809</v>
      </c>
      <c r="O13" s="27">
        <v>0.43107387508109823</v>
      </c>
      <c r="P13" s="27">
        <v>0.46388463371071492</v>
      </c>
      <c r="Q13" s="31">
        <v>0.40409198824261727</v>
      </c>
      <c r="R13" s="27">
        <v>0.42507718413130252</v>
      </c>
    </row>
    <row r="15" spans="2:23" x14ac:dyDescent="0.3">
      <c r="H15" s="11"/>
      <c r="I15" s="11"/>
      <c r="J15" s="11"/>
      <c r="K15" s="11"/>
      <c r="L15" s="11"/>
    </row>
    <row r="16" spans="2:23" x14ac:dyDescent="0.3">
      <c r="C16" s="32" t="s">
        <v>34</v>
      </c>
      <c r="D16" s="32"/>
      <c r="E16" s="32"/>
      <c r="F16" s="32"/>
      <c r="G16" s="32"/>
      <c r="H16" s="32"/>
      <c r="I16" s="32"/>
      <c r="L16" s="33" t="s">
        <v>33</v>
      </c>
      <c r="M16" s="33"/>
      <c r="N16" s="33"/>
      <c r="O16" s="33"/>
      <c r="P16" s="33"/>
      <c r="Q16" s="33"/>
      <c r="R16" s="33"/>
    </row>
    <row r="17" spans="2:18" ht="57.6" x14ac:dyDescent="0.3">
      <c r="B17" s="6" t="s">
        <v>6</v>
      </c>
      <c r="C17" s="2" t="s">
        <v>0</v>
      </c>
      <c r="D17" s="2" t="s">
        <v>19</v>
      </c>
      <c r="E17" s="1" t="s">
        <v>1</v>
      </c>
      <c r="F17" s="7" t="s">
        <v>2</v>
      </c>
      <c r="G17" s="7" t="s">
        <v>3</v>
      </c>
      <c r="H17" s="2" t="s">
        <v>4</v>
      </c>
      <c r="I17" s="2" t="s">
        <v>5</v>
      </c>
      <c r="K17" s="20" t="s">
        <v>6</v>
      </c>
      <c r="L17" s="3" t="s">
        <v>20</v>
      </c>
      <c r="M17" s="3" t="s">
        <v>27</v>
      </c>
      <c r="N17" s="21" t="s">
        <v>1</v>
      </c>
      <c r="O17" s="22" t="s">
        <v>2</v>
      </c>
      <c r="P17" s="22" t="s">
        <v>3</v>
      </c>
      <c r="Q17" s="3" t="s">
        <v>4</v>
      </c>
      <c r="R17" s="19" t="s">
        <v>5</v>
      </c>
    </row>
    <row r="18" spans="2:18" x14ac:dyDescent="0.3">
      <c r="B18" t="s">
        <v>8</v>
      </c>
      <c r="C18" s="4"/>
      <c r="D18" s="14"/>
      <c r="E18" s="10"/>
      <c r="F18" s="10"/>
      <c r="G18" s="10"/>
      <c r="H18" s="10"/>
      <c r="I18" s="10"/>
      <c r="K18" s="17" t="s">
        <v>8</v>
      </c>
      <c r="L18" s="26"/>
      <c r="M18" s="26"/>
      <c r="N18" s="26"/>
      <c r="O18" s="26"/>
      <c r="P18" s="26"/>
      <c r="Q18" s="26"/>
      <c r="R18" s="28"/>
    </row>
    <row r="19" spans="2:18" x14ac:dyDescent="0.3">
      <c r="B19" t="s">
        <v>9</v>
      </c>
      <c r="C19" s="4"/>
      <c r="D19" s="14"/>
      <c r="E19" s="10"/>
      <c r="F19" s="10"/>
      <c r="G19" s="10"/>
      <c r="H19" s="10"/>
      <c r="I19" s="10"/>
      <c r="K19" s="18" t="s">
        <v>9</v>
      </c>
      <c r="L19" s="27"/>
      <c r="M19" s="27"/>
      <c r="N19" s="27"/>
      <c r="O19" s="27"/>
      <c r="P19" s="27"/>
      <c r="Q19" s="27"/>
      <c r="R19" s="29"/>
    </row>
    <row r="20" spans="2:18" x14ac:dyDescent="0.3">
      <c r="B20" t="s">
        <v>10</v>
      </c>
      <c r="C20" s="4"/>
      <c r="D20" s="14"/>
      <c r="E20" s="10"/>
      <c r="F20" s="10"/>
      <c r="G20" s="10"/>
      <c r="H20" s="10"/>
      <c r="I20" s="10"/>
      <c r="K20" s="17" t="s">
        <v>10</v>
      </c>
      <c r="L20" s="26"/>
      <c r="M20" s="26"/>
      <c r="N20" s="26"/>
      <c r="O20" s="26"/>
      <c r="P20" s="26"/>
      <c r="Q20" s="26"/>
      <c r="R20" s="28"/>
    </row>
    <row r="21" spans="2:18" x14ac:dyDescent="0.3">
      <c r="B21" s="5" t="s">
        <v>11</v>
      </c>
      <c r="C21" s="4"/>
      <c r="D21" s="14"/>
      <c r="E21" s="10"/>
      <c r="F21" s="10"/>
      <c r="G21" s="10"/>
      <c r="H21" s="10"/>
      <c r="I21" s="10"/>
      <c r="K21" s="25" t="s">
        <v>11</v>
      </c>
      <c r="L21" s="27"/>
      <c r="M21" s="27"/>
      <c r="N21" s="27"/>
      <c r="O21" s="27"/>
      <c r="P21" s="27"/>
      <c r="Q21" s="27"/>
      <c r="R21" s="29"/>
    </row>
    <row r="22" spans="2:18" x14ac:dyDescent="0.3">
      <c r="B22" t="s">
        <v>16</v>
      </c>
      <c r="C22" s="4"/>
      <c r="D22" s="14"/>
      <c r="E22" s="10"/>
      <c r="F22" s="10"/>
      <c r="G22" s="10"/>
      <c r="H22" s="10"/>
      <c r="I22" s="10"/>
      <c r="K22" s="17" t="s">
        <v>16</v>
      </c>
      <c r="L22" s="26"/>
      <c r="M22" s="26"/>
      <c r="N22" s="26"/>
      <c r="O22" s="26"/>
      <c r="P22" s="26"/>
      <c r="Q22" s="26"/>
      <c r="R22" s="28"/>
    </row>
    <row r="23" spans="2:18" x14ac:dyDescent="0.3">
      <c r="B23" t="s">
        <v>15</v>
      </c>
      <c r="C23" s="4"/>
      <c r="D23" s="14"/>
      <c r="E23" s="10"/>
      <c r="F23" s="10"/>
      <c r="G23" s="10"/>
      <c r="H23" s="10"/>
      <c r="I23" s="10"/>
      <c r="K23" s="18" t="s">
        <v>15</v>
      </c>
      <c r="L23" s="27"/>
      <c r="M23" s="27"/>
      <c r="N23" s="27"/>
      <c r="O23" s="27"/>
      <c r="P23" s="27"/>
      <c r="Q23" s="27"/>
      <c r="R23" s="29"/>
    </row>
    <row r="24" spans="2:18" x14ac:dyDescent="0.3">
      <c r="B24" t="s">
        <v>12</v>
      </c>
      <c r="C24" s="4"/>
      <c r="D24" s="14"/>
      <c r="E24" s="10"/>
      <c r="F24" s="10"/>
      <c r="G24" s="10"/>
      <c r="H24" s="10"/>
      <c r="I24" s="10"/>
      <c r="K24" s="17" t="s">
        <v>12</v>
      </c>
      <c r="L24" s="26"/>
      <c r="M24" s="26"/>
      <c r="N24" s="26"/>
      <c r="O24" s="26"/>
      <c r="P24" s="26"/>
      <c r="Q24" s="26"/>
      <c r="R24" s="28"/>
    </row>
    <row r="25" spans="2:18" x14ac:dyDescent="0.3">
      <c r="B25" t="s">
        <v>13</v>
      </c>
      <c r="C25" s="4"/>
      <c r="D25" s="14"/>
      <c r="E25" s="10"/>
      <c r="F25" s="10"/>
      <c r="G25" s="10"/>
      <c r="H25" s="10"/>
      <c r="I25" s="10"/>
      <c r="K25" s="18" t="s">
        <v>13</v>
      </c>
      <c r="L25" s="27"/>
      <c r="M25" s="27"/>
      <c r="N25" s="27"/>
      <c r="O25" s="27"/>
      <c r="P25" s="27"/>
      <c r="Q25" s="27"/>
      <c r="R25" s="29"/>
    </row>
    <row r="26" spans="2:18" x14ac:dyDescent="0.3">
      <c r="B26" t="s">
        <v>17</v>
      </c>
      <c r="C26" s="4"/>
      <c r="D26" s="14"/>
      <c r="E26" s="10"/>
      <c r="F26" s="10"/>
      <c r="G26" s="10"/>
      <c r="H26" s="10"/>
      <c r="I26" s="10"/>
      <c r="K26" s="17" t="s">
        <v>17</v>
      </c>
      <c r="L26" s="26"/>
      <c r="M26" s="26"/>
      <c r="N26" s="26"/>
      <c r="O26" s="26"/>
      <c r="P26" s="26"/>
      <c r="Q26" s="26"/>
      <c r="R26" s="28"/>
    </row>
    <row r="29" spans="2:18" x14ac:dyDescent="0.3">
      <c r="C29" s="32" t="s">
        <v>117</v>
      </c>
      <c r="D29" s="32"/>
      <c r="E29" s="32"/>
      <c r="F29" s="32"/>
      <c r="G29" s="32"/>
      <c r="H29" s="11"/>
      <c r="I29" s="11"/>
      <c r="J29" s="11"/>
      <c r="K29" s="11"/>
      <c r="L29" s="11"/>
    </row>
    <row r="30" spans="2:18" ht="28.8" x14ac:dyDescent="0.3">
      <c r="B30" s="6" t="s">
        <v>6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  <c r="H30" s="11"/>
      <c r="I30" s="11"/>
      <c r="J30" s="11"/>
      <c r="K30" s="20"/>
      <c r="L30" s="20"/>
      <c r="N30" s="11"/>
      <c r="O30" s="11"/>
    </row>
    <row r="31" spans="2:18" x14ac:dyDescent="0.3">
      <c r="B31" t="s">
        <v>8</v>
      </c>
      <c r="C31" s="11">
        <v>0.54333893327120741</v>
      </c>
      <c r="D31" s="11">
        <v>0.44239917071548651</v>
      </c>
      <c r="E31" s="11">
        <v>0.24587734276315948</v>
      </c>
      <c r="F31" s="11">
        <v>0.53859807316593744</v>
      </c>
      <c r="G31" s="11">
        <v>0.64431982172267233</v>
      </c>
      <c r="H31" s="11"/>
      <c r="I31" s="11"/>
      <c r="J31" s="11"/>
      <c r="K31" s="26" t="s">
        <v>44</v>
      </c>
      <c r="L31" s="26">
        <f>MEDIAN(N5:R13)</f>
        <v>0.48674371558360335</v>
      </c>
      <c r="N31" s="11"/>
      <c r="O31" s="11"/>
    </row>
    <row r="32" spans="2:18" x14ac:dyDescent="0.3">
      <c r="B32" t="s">
        <v>9</v>
      </c>
      <c r="C32" s="11">
        <v>0.43120086678780589</v>
      </c>
      <c r="D32" s="11">
        <v>0.26853719618765115</v>
      </c>
      <c r="E32" s="11">
        <v>0.60833400336514998</v>
      </c>
      <c r="F32" s="11">
        <v>0.35378500318627892</v>
      </c>
      <c r="G32" s="11">
        <v>0.63314938244560948</v>
      </c>
      <c r="H32" s="11"/>
      <c r="I32" s="11"/>
      <c r="J32" s="11"/>
      <c r="K32" s="27" t="s">
        <v>47</v>
      </c>
      <c r="L32" s="24">
        <f>MEDIAN(E5:I13)</f>
        <v>3.7618451897891703E-2</v>
      </c>
      <c r="N32" s="11"/>
      <c r="O32" s="11"/>
    </row>
    <row r="33" spans="2:12" x14ac:dyDescent="0.3">
      <c r="B33" t="s">
        <v>10</v>
      </c>
      <c r="C33" s="11">
        <v>0.51127105504519343</v>
      </c>
      <c r="D33" s="11">
        <v>0.21734765803781447</v>
      </c>
      <c r="E33" s="11">
        <v>0.15953732739376475</v>
      </c>
      <c r="F33" s="11">
        <v>0.26734036906712327</v>
      </c>
      <c r="G33" s="11">
        <v>0.20158265024540747</v>
      </c>
      <c r="K33" s="26" t="s">
        <v>45</v>
      </c>
      <c r="L33" s="26"/>
    </row>
    <row r="34" spans="2:12" x14ac:dyDescent="0.3">
      <c r="B34" s="5" t="s">
        <v>11</v>
      </c>
      <c r="C34" s="11">
        <v>0.63134186359185585</v>
      </c>
      <c r="D34" s="11">
        <v>0.37924790201718545</v>
      </c>
      <c r="E34" s="11">
        <v>0.26725519654821545</v>
      </c>
      <c r="F34" s="11">
        <v>0.35199439155650414</v>
      </c>
      <c r="G34" s="11">
        <v>0.31519318399087698</v>
      </c>
      <c r="K34" s="27" t="s">
        <v>46</v>
      </c>
      <c r="L34" s="27"/>
    </row>
    <row r="35" spans="2:12" x14ac:dyDescent="0.3">
      <c r="B35" t="s">
        <v>16</v>
      </c>
      <c r="C35" s="11">
        <v>0.38118548132968599</v>
      </c>
      <c r="D35" s="11">
        <v>0.25111289244433316</v>
      </c>
      <c r="E35" s="11">
        <v>0.63330823282348159</v>
      </c>
      <c r="F35" s="11">
        <v>0.32256615260862476</v>
      </c>
      <c r="G35" s="11">
        <v>0.66982773034302667</v>
      </c>
      <c r="K35" s="26" t="s">
        <v>48</v>
      </c>
      <c r="L35" s="26">
        <f>_xlfn.QUARTILE.INC(N5:R13, 1)</f>
        <v>0.46668276952341298</v>
      </c>
    </row>
    <row r="36" spans="2:12" x14ac:dyDescent="0.3">
      <c r="B36" t="s">
        <v>15</v>
      </c>
      <c r="C36" s="11">
        <v>0.74718524944757336</v>
      </c>
      <c r="D36" s="11">
        <v>9.0213842672280747E-2</v>
      </c>
      <c r="E36" s="11">
        <v>0.14705323278250645</v>
      </c>
      <c r="F36" s="11">
        <v>0.22945836942037751</v>
      </c>
      <c r="G36" s="11">
        <v>0.24522049376589145</v>
      </c>
      <c r="K36" s="27" t="s">
        <v>116</v>
      </c>
      <c r="L36" s="24">
        <f>_xlfn.QUARTILE.INC(E5:I13,3)</f>
        <v>7.7282619523868723E-2</v>
      </c>
    </row>
    <row r="37" spans="2:12" x14ac:dyDescent="0.3">
      <c r="B37" t="s">
        <v>12</v>
      </c>
      <c r="C37" s="11">
        <v>0.57986318309189289</v>
      </c>
      <c r="D37" s="11">
        <v>0.52940448945220309</v>
      </c>
      <c r="E37" s="11">
        <v>0.43055859754930281</v>
      </c>
      <c r="F37" s="11">
        <v>0.52216849136513743</v>
      </c>
      <c r="G37" s="11">
        <v>0.41637200808927177</v>
      </c>
      <c r="K37" s="26" t="s">
        <v>50</v>
      </c>
      <c r="L37" s="26">
        <f>_xlfn.QUARTILE.INC(N5:R13, 3)</f>
        <v>0.49781355866351934</v>
      </c>
    </row>
    <row r="38" spans="2:12" x14ac:dyDescent="0.3">
      <c r="B38" t="s">
        <v>13</v>
      </c>
      <c r="C38" s="11">
        <v>0.46741205984560574</v>
      </c>
      <c r="D38" s="11">
        <v>0.37879855268750867</v>
      </c>
      <c r="E38" s="11">
        <v>0.54112731644673717</v>
      </c>
      <c r="F38" s="11">
        <v>0.37814730907545357</v>
      </c>
      <c r="G38" s="11">
        <v>0.42792901708791287</v>
      </c>
      <c r="K38" s="27" t="s">
        <v>49</v>
      </c>
      <c r="L38" s="24">
        <f>_xlfn.QUARTILE.INC(E5:I13,1)</f>
        <v>1.5731342975029539E-2</v>
      </c>
    </row>
    <row r="39" spans="2:12" x14ac:dyDescent="0.3">
      <c r="B39" t="s">
        <v>17</v>
      </c>
      <c r="C39" s="11">
        <v>0.46132946565512567</v>
      </c>
      <c r="D39" s="11">
        <v>0.30313018679318071</v>
      </c>
      <c r="E39" s="11">
        <v>0.27089497724537293</v>
      </c>
      <c r="F39" s="11">
        <v>0.34623959224699563</v>
      </c>
      <c r="G39" s="11">
        <v>0.25036595648895416</v>
      </c>
    </row>
  </sheetData>
  <mergeCells count="5">
    <mergeCell ref="C3:I3"/>
    <mergeCell ref="L3:R3"/>
    <mergeCell ref="C16:I16"/>
    <mergeCell ref="L16:R16"/>
    <mergeCell ref="C29:G29"/>
  </mergeCells>
  <conditionalFormatting sqref="C31:G39">
    <cfRule type="colorScale" priority="16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C5:I13">
    <cfRule type="colorScale" priority="6">
      <colorScale>
        <cfvo type="num" val="0"/>
        <cfvo type="percentile" val="50"/>
        <cfvo type="max"/>
        <color rgb="FFFF4343"/>
        <color rgb="FFFFEB84"/>
        <color theme="9"/>
      </colorScale>
    </cfRule>
  </conditionalFormatting>
  <conditionalFormatting sqref="C18:I26">
    <cfRule type="colorScale" priority="21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K31:K38">
    <cfRule type="colorScale" priority="17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5:R13">
    <cfRule type="colorScale" priority="12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20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N30:O32 U7:W9 H15:L15 H29:L29 H30:J32">
    <cfRule type="colorScale" priority="310">
      <colorScale>
        <cfvo type="min"/>
        <cfvo type="percentile" val="50"/>
        <cfvo type="max"/>
        <color rgb="FF00BC55"/>
        <color rgb="FFFFEB84"/>
        <color rgb="FFEB2B0B"/>
      </colorScale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92B1-0EF6-4C69-ADD2-27268EA90002}">
  <dimension ref="B3:R46"/>
  <sheetViews>
    <sheetView tabSelected="1" zoomScale="106" zoomScaleNormal="56" workbookViewId="0">
      <selection activeCell="I10" sqref="I10"/>
    </sheetView>
  </sheetViews>
  <sheetFormatPr defaultRowHeight="14.4" x14ac:dyDescent="0.3"/>
  <cols>
    <col min="2" max="2" width="37.44140625" customWidth="1"/>
    <col min="3" max="3" width="22.21875" customWidth="1"/>
    <col min="4" max="4" width="18.33203125" customWidth="1"/>
    <col min="5" max="5" width="18.109375" customWidth="1"/>
    <col min="6" max="6" width="12.33203125" customWidth="1"/>
    <col min="7" max="7" width="17.88671875" customWidth="1"/>
    <col min="8" max="8" width="17.6640625" customWidth="1"/>
    <col min="9" max="9" width="22.109375" customWidth="1"/>
    <col min="11" max="11" width="35" customWidth="1"/>
    <col min="12" max="12" width="22.109375" customWidth="1"/>
    <col min="13" max="13" width="20.6640625" customWidth="1"/>
    <col min="14" max="14" width="50" customWidth="1"/>
    <col min="15" max="15" width="26.21875" customWidth="1"/>
    <col min="16" max="16" width="17" customWidth="1"/>
    <col min="17" max="17" width="15.44140625" customWidth="1"/>
    <col min="18" max="18" width="15.5546875" customWidth="1"/>
  </cols>
  <sheetData>
    <row r="3" spans="2:18" x14ac:dyDescent="0.3">
      <c r="C3" s="32" t="s">
        <v>35</v>
      </c>
      <c r="D3" s="32"/>
      <c r="E3" s="32"/>
      <c r="F3" s="32"/>
      <c r="G3" s="32"/>
      <c r="H3" s="32"/>
      <c r="I3" s="32"/>
      <c r="L3" s="32" t="s">
        <v>28</v>
      </c>
      <c r="M3" s="32"/>
      <c r="N3" s="32"/>
      <c r="O3" s="32"/>
      <c r="P3" s="32"/>
      <c r="Q3" s="32"/>
      <c r="R3" s="32"/>
    </row>
    <row r="4" spans="2:18" ht="43.2" x14ac:dyDescent="0.3">
      <c r="B4" s="6" t="s">
        <v>7</v>
      </c>
      <c r="C4" s="2" t="s">
        <v>0</v>
      </c>
      <c r="D4" s="2" t="s">
        <v>19</v>
      </c>
      <c r="E4" s="2" t="s">
        <v>21</v>
      </c>
      <c r="F4" s="7" t="s">
        <v>2</v>
      </c>
      <c r="G4" s="7" t="s">
        <v>3</v>
      </c>
      <c r="H4" s="2" t="s">
        <v>4</v>
      </c>
      <c r="I4" s="2" t="s">
        <v>5</v>
      </c>
      <c r="K4" s="6" t="s">
        <v>7</v>
      </c>
      <c r="L4" s="6" t="s">
        <v>20</v>
      </c>
      <c r="M4" s="12" t="s">
        <v>27</v>
      </c>
      <c r="N4" s="1" t="s">
        <v>1</v>
      </c>
      <c r="O4" s="7" t="s">
        <v>2</v>
      </c>
      <c r="P4" s="7" t="s">
        <v>3</v>
      </c>
      <c r="Q4" s="2" t="s">
        <v>4</v>
      </c>
      <c r="R4" s="2" t="s">
        <v>5</v>
      </c>
    </row>
    <row r="5" spans="2:18" x14ac:dyDescent="0.3">
      <c r="B5" t="s">
        <v>8</v>
      </c>
      <c r="C5" s="4">
        <v>0</v>
      </c>
      <c r="D5" s="14">
        <v>0.16170000000000001</v>
      </c>
      <c r="E5" s="10">
        <v>-5.2268216439443904E-6</v>
      </c>
      <c r="F5" s="10">
        <v>1.15107689759264E-2</v>
      </c>
      <c r="G5" s="10">
        <v>2.0641421185977116E-2</v>
      </c>
      <c r="H5" s="10">
        <v>1.1946169331802037E-2</v>
      </c>
      <c r="I5" s="10">
        <v>2.0641421185977116E-2</v>
      </c>
      <c r="K5" t="s">
        <v>8</v>
      </c>
      <c r="L5" s="11">
        <v>0.50577000000000005</v>
      </c>
      <c r="M5" s="11">
        <v>0.42399999999999999</v>
      </c>
      <c r="N5" s="11">
        <v>0.50577264356958296</v>
      </c>
      <c r="O5" s="11">
        <v>0.49994819837504578</v>
      </c>
      <c r="P5" s="11">
        <v>0.4953301884067684</v>
      </c>
      <c r="Q5" s="11">
        <v>0.49972798593705453</v>
      </c>
      <c r="R5" s="11">
        <v>0.4953301884067684</v>
      </c>
    </row>
    <row r="6" spans="2:18" x14ac:dyDescent="0.3">
      <c r="B6" t="s">
        <v>9</v>
      </c>
      <c r="C6" s="4">
        <v>0</v>
      </c>
      <c r="D6" s="14">
        <v>0.15509999999999999</v>
      </c>
      <c r="E6" s="10">
        <v>2.4856106504954623E-3</v>
      </c>
      <c r="F6" s="10">
        <v>5.6838018797408574E-2</v>
      </c>
      <c r="G6" s="10">
        <v>1.5731342975029539E-2</v>
      </c>
      <c r="H6" s="10">
        <v>4.1404812124833823E-2</v>
      </c>
      <c r="I6" s="10">
        <v>6.2125446257616068E-2</v>
      </c>
      <c r="K6" t="s">
        <v>9</v>
      </c>
      <c r="L6" s="11">
        <v>0.50577000000000005</v>
      </c>
      <c r="M6" s="11">
        <v>0.42699999999999999</v>
      </c>
      <c r="N6" s="11">
        <v>0.50451285270129897</v>
      </c>
      <c r="O6" s="11">
        <v>0.47702303523283474</v>
      </c>
      <c r="P6" s="11">
        <v>0.49781355866351934</v>
      </c>
      <c r="Q6" s="11">
        <v>0.48482868817162283</v>
      </c>
      <c r="R6" s="11">
        <v>0.47434881304628557</v>
      </c>
    </row>
    <row r="7" spans="2:18" x14ac:dyDescent="0.3">
      <c r="B7" t="s">
        <v>10</v>
      </c>
      <c r="C7" s="4">
        <v>0</v>
      </c>
      <c r="D7" s="14">
        <v>0.14940000000000001</v>
      </c>
      <c r="E7" s="10">
        <v>2.4856106504954623E-3</v>
      </c>
      <c r="F7" s="10">
        <v>9.4302895546925614E-2</v>
      </c>
      <c r="G7" s="10">
        <v>2.5492555713518272E-2</v>
      </c>
      <c r="H7" s="10">
        <v>8.11869566393328E-2</v>
      </c>
      <c r="I7" s="10">
        <v>4.1861462523983373E-2</v>
      </c>
      <c r="K7" t="s">
        <v>10</v>
      </c>
      <c r="L7" s="11">
        <v>0.50577000000000005</v>
      </c>
      <c r="M7" s="11">
        <v>0.43</v>
      </c>
      <c r="N7" s="11">
        <v>0.50451285270129897</v>
      </c>
      <c r="O7" s="11">
        <v>0.45807442451923147</v>
      </c>
      <c r="P7" s="11">
        <v>0.4928766300967739</v>
      </c>
      <c r="Q7" s="11">
        <v>0.46470807294052469</v>
      </c>
      <c r="R7" s="11">
        <v>0.48459772809924501</v>
      </c>
    </row>
    <row r="8" spans="2:18" x14ac:dyDescent="0.3">
      <c r="B8" s="5" t="s">
        <v>11</v>
      </c>
      <c r="C8" s="4">
        <v>0</v>
      </c>
      <c r="D8" s="14">
        <v>0.16170000000000001</v>
      </c>
      <c r="E8" s="10">
        <v>-5.2268216439443904E-6</v>
      </c>
      <c r="F8" s="10">
        <v>1.2531263930481318E-2</v>
      </c>
      <c r="G8" s="10">
        <v>3.6427985584560174E-2</v>
      </c>
      <c r="H8" s="10">
        <v>5.0152792694463821E-2</v>
      </c>
      <c r="I8" s="10">
        <v>2.9326984311503712E-2</v>
      </c>
      <c r="K8" s="5" t="s">
        <v>11</v>
      </c>
      <c r="L8" s="11">
        <v>0.50577000000000005</v>
      </c>
      <c r="M8" s="11">
        <v>0.42399999999999999</v>
      </c>
      <c r="N8" s="11">
        <v>0.50577264356958296</v>
      </c>
      <c r="O8" s="11">
        <v>0.4994320626418805</v>
      </c>
      <c r="P8" s="11">
        <v>0.48734581773089708</v>
      </c>
      <c r="Q8" s="11">
        <v>0.48040422203892108</v>
      </c>
      <c r="R8" s="11">
        <v>0.4909372911447708</v>
      </c>
    </row>
    <row r="9" spans="2:18" x14ac:dyDescent="0.3">
      <c r="B9" t="s">
        <v>16</v>
      </c>
      <c r="C9" s="4">
        <v>0</v>
      </c>
      <c r="D9" s="14">
        <v>0.15509999999999999</v>
      </c>
      <c r="E9" s="10">
        <v>-5.2268216439443904E-6</v>
      </c>
      <c r="F9" s="10">
        <v>1.1020891019827506E-2</v>
      </c>
      <c r="G9" s="10">
        <v>2.9326984311503712E-2</v>
      </c>
      <c r="H9" s="10">
        <v>5.7380950947298781E-2</v>
      </c>
      <c r="I9" s="10">
        <v>2.9326984311503712E-2</v>
      </c>
      <c r="K9" t="s">
        <v>16</v>
      </c>
      <c r="L9" s="11">
        <v>0.50577000000000005</v>
      </c>
      <c r="M9" s="11">
        <v>0.42699999999999999</v>
      </c>
      <c r="N9" s="11">
        <v>0.50577264356958296</v>
      </c>
      <c r="O9" s="11">
        <v>0.50019596394890187</v>
      </c>
      <c r="P9" s="11">
        <v>0.4909372911447708</v>
      </c>
      <c r="Q9" s="11">
        <v>0.47674843643938475</v>
      </c>
      <c r="R9" s="11">
        <v>0.4909372911447708</v>
      </c>
    </row>
    <row r="10" spans="2:18" ht="57.6" customHeight="1" x14ac:dyDescent="0.3">
      <c r="B10" t="s">
        <v>15</v>
      </c>
      <c r="C10" s="4">
        <v>0</v>
      </c>
      <c r="D10" s="14">
        <v>0.14940000000000001</v>
      </c>
      <c r="E10" s="10">
        <v>1.2711609364314258E-3</v>
      </c>
      <c r="F10" s="10">
        <v>6.2760447971250133E-2</v>
      </c>
      <c r="G10" s="10">
        <v>2.3354407737178673E-2</v>
      </c>
      <c r="H10" s="10">
        <v>9.6053648762831179E-2</v>
      </c>
      <c r="I10" s="10">
        <v>9.3935391766776122E-2</v>
      </c>
      <c r="K10" t="s">
        <v>15</v>
      </c>
      <c r="L10" s="11">
        <v>0.50577000000000005</v>
      </c>
      <c r="M10" s="11">
        <v>0.43</v>
      </c>
      <c r="N10" s="11">
        <v>0.50512708493318115</v>
      </c>
      <c r="O10" s="11">
        <v>0.47402764822958088</v>
      </c>
      <c r="P10" s="11">
        <v>0.49395804119876718</v>
      </c>
      <c r="Q10" s="11">
        <v>0.45718894606522292</v>
      </c>
      <c r="R10" s="11">
        <v>0.45826029690611769</v>
      </c>
    </row>
    <row r="11" spans="2:18" x14ac:dyDescent="0.3">
      <c r="B11" t="s">
        <v>12</v>
      </c>
      <c r="C11" s="4">
        <v>0</v>
      </c>
      <c r="D11" s="14">
        <v>0.24540000000000001</v>
      </c>
      <c r="E11" s="10">
        <v>9.1912133821983044E-3</v>
      </c>
      <c r="F11" s="10">
        <v>1.7514497080381441E-2</v>
      </c>
      <c r="G11" s="10">
        <v>4.062960539030136E-2</v>
      </c>
      <c r="H11" s="10">
        <v>1.7871152189652517E-2</v>
      </c>
      <c r="I11" s="10">
        <v>3.9311032372611132E-2</v>
      </c>
      <c r="K11" t="s">
        <v>12</v>
      </c>
      <c r="L11" s="11">
        <v>0.50577000000000005</v>
      </c>
      <c r="M11" s="11">
        <v>0.38163999999999998</v>
      </c>
      <c r="N11" s="11">
        <v>0.50112136000768559</v>
      </c>
      <c r="O11" s="11">
        <v>0.49691169281165554</v>
      </c>
      <c r="P11" s="11">
        <v>0.48522076448174734</v>
      </c>
      <c r="Q11" s="11">
        <v>0.49673130735703952</v>
      </c>
      <c r="R11" s="11">
        <v>0.48588765915690452</v>
      </c>
    </row>
    <row r="12" spans="2:18" x14ac:dyDescent="0.3">
      <c r="B12" t="s">
        <v>13</v>
      </c>
      <c r="C12" s="4">
        <v>0</v>
      </c>
      <c r="D12" s="14">
        <v>0.23760000000000001</v>
      </c>
      <c r="E12" s="10">
        <v>8.6787798315114406E-3</v>
      </c>
      <c r="F12" s="10">
        <v>4.5355355028598998E-2</v>
      </c>
      <c r="G12" s="10">
        <v>5.3369886561019819E-2</v>
      </c>
      <c r="H12" s="10">
        <v>3.7477095791897397E-2</v>
      </c>
      <c r="I12" s="10">
        <v>7.3694450519822374E-2</v>
      </c>
      <c r="K12" t="s">
        <v>13</v>
      </c>
      <c r="L12" s="11">
        <v>0.50577000000000005</v>
      </c>
      <c r="M12" s="11">
        <v>0.3856</v>
      </c>
      <c r="N12" s="11">
        <v>0.50138053352461653</v>
      </c>
      <c r="O12" s="11">
        <v>0.48283062208718552</v>
      </c>
      <c r="P12" s="11">
        <v>0.47877711247403304</v>
      </c>
      <c r="Q12" s="11">
        <v>0.48681520926133209</v>
      </c>
      <c r="R12" s="11">
        <v>0.46849755776058949</v>
      </c>
    </row>
    <row r="13" spans="2:18" x14ac:dyDescent="0.3">
      <c r="B13" t="s">
        <v>17</v>
      </c>
      <c r="C13" s="4">
        <v>0</v>
      </c>
      <c r="D13" s="14">
        <v>0.2303</v>
      </c>
      <c r="E13" s="10">
        <v>9.0064035423189082E-2</v>
      </c>
      <c r="F13" s="10">
        <v>0.13826346677177714</v>
      </c>
      <c r="G13" s="10">
        <v>0.13926420379985427</v>
      </c>
      <c r="H13" s="10">
        <v>0.15547421702405828</v>
      </c>
      <c r="I13" s="10">
        <v>0.1533539680989191</v>
      </c>
      <c r="K13" t="s">
        <v>17</v>
      </c>
      <c r="L13" s="11">
        <v>0.50577000000000005</v>
      </c>
      <c r="M13" s="11">
        <v>0.38929000000000002</v>
      </c>
      <c r="N13" s="11">
        <v>0.46021831280401371</v>
      </c>
      <c r="O13" s="11">
        <v>0.43584048641083833</v>
      </c>
      <c r="P13" s="11">
        <v>0.43533434364414775</v>
      </c>
      <c r="Q13" s="11">
        <v>0.42713580525574207</v>
      </c>
      <c r="R13" s="11">
        <v>0.42820816355460972</v>
      </c>
    </row>
    <row r="16" spans="2:18" x14ac:dyDescent="0.3">
      <c r="C16" s="32" t="s">
        <v>34</v>
      </c>
      <c r="D16" s="32"/>
      <c r="E16" s="32"/>
      <c r="F16" s="32"/>
      <c r="G16" s="32"/>
      <c r="H16" s="32"/>
      <c r="I16" s="32"/>
      <c r="L16" s="32" t="s">
        <v>52</v>
      </c>
      <c r="M16" s="32"/>
      <c r="N16" s="32"/>
      <c r="O16" s="32"/>
      <c r="P16" s="32"/>
      <c r="Q16" s="32"/>
      <c r="R16" s="32"/>
    </row>
    <row r="17" spans="2:18" ht="43.2" x14ac:dyDescent="0.3">
      <c r="B17" s="6" t="s">
        <v>7</v>
      </c>
      <c r="C17" s="2" t="s">
        <v>0</v>
      </c>
      <c r="D17" s="2" t="s">
        <v>19</v>
      </c>
      <c r="E17" s="2" t="s">
        <v>21</v>
      </c>
      <c r="F17" s="7" t="s">
        <v>2</v>
      </c>
      <c r="G17" s="7" t="s">
        <v>3</v>
      </c>
      <c r="H17" s="2" t="s">
        <v>4</v>
      </c>
      <c r="I17" s="2" t="s">
        <v>5</v>
      </c>
      <c r="K17" s="6" t="s">
        <v>7</v>
      </c>
      <c r="L17" s="6" t="s">
        <v>20</v>
      </c>
      <c r="M17" s="12" t="s">
        <v>27</v>
      </c>
      <c r="N17" s="1" t="s">
        <v>1</v>
      </c>
      <c r="O17" s="7" t="s">
        <v>2</v>
      </c>
      <c r="P17" s="7" t="s">
        <v>3</v>
      </c>
      <c r="Q17" s="2" t="s">
        <v>4</v>
      </c>
      <c r="R17" s="2" t="s">
        <v>5</v>
      </c>
    </row>
    <row r="18" spans="2:18" x14ac:dyDescent="0.3">
      <c r="B18" t="s">
        <v>8</v>
      </c>
      <c r="C18" s="4"/>
      <c r="D18" s="14"/>
      <c r="E18" s="10"/>
      <c r="F18" s="10"/>
      <c r="G18" s="10"/>
      <c r="H18" s="10"/>
      <c r="I18" s="10"/>
      <c r="K18" t="s">
        <v>8</v>
      </c>
      <c r="L18" s="11"/>
      <c r="M18" s="11"/>
      <c r="N18" s="11"/>
      <c r="O18" s="11"/>
      <c r="P18" s="11"/>
      <c r="Q18" s="11"/>
      <c r="R18" s="11"/>
    </row>
    <row r="19" spans="2:18" x14ac:dyDescent="0.3">
      <c r="B19" t="s">
        <v>9</v>
      </c>
      <c r="C19" s="4"/>
      <c r="D19" s="14"/>
      <c r="E19" s="10"/>
      <c r="F19" s="10"/>
      <c r="G19" s="10"/>
      <c r="H19" s="10"/>
      <c r="I19" s="10"/>
      <c r="K19" t="s">
        <v>9</v>
      </c>
      <c r="L19" s="11"/>
      <c r="M19" s="11"/>
      <c r="N19" s="11"/>
      <c r="O19" s="11"/>
      <c r="P19" s="11"/>
      <c r="Q19" s="11"/>
      <c r="R19" s="11"/>
    </row>
    <row r="20" spans="2:18" x14ac:dyDescent="0.3">
      <c r="B20" t="s">
        <v>10</v>
      </c>
      <c r="C20" s="4"/>
      <c r="D20" s="14"/>
      <c r="E20" s="10"/>
      <c r="F20" s="10"/>
      <c r="G20" s="10"/>
      <c r="H20" s="10"/>
      <c r="I20" s="10"/>
      <c r="K20" t="s">
        <v>10</v>
      </c>
      <c r="L20" s="11"/>
      <c r="M20" s="11"/>
      <c r="N20" s="11"/>
      <c r="O20" s="11"/>
      <c r="P20" s="11"/>
      <c r="Q20" s="11"/>
      <c r="R20" s="11"/>
    </row>
    <row r="21" spans="2:18" x14ac:dyDescent="0.3">
      <c r="B21" s="5" t="s">
        <v>11</v>
      </c>
      <c r="C21" s="4"/>
      <c r="D21" s="14"/>
      <c r="E21" s="10"/>
      <c r="F21" s="10"/>
      <c r="G21" s="10"/>
      <c r="H21" s="10"/>
      <c r="I21" s="10"/>
      <c r="K21" s="5" t="s">
        <v>11</v>
      </c>
      <c r="L21" s="11"/>
      <c r="M21" s="11"/>
      <c r="N21" s="11"/>
      <c r="O21" s="11"/>
      <c r="P21" s="11"/>
      <c r="Q21" s="11"/>
      <c r="R21" s="11"/>
    </row>
    <row r="22" spans="2:18" x14ac:dyDescent="0.3">
      <c r="B22" t="s">
        <v>16</v>
      </c>
      <c r="C22" s="4"/>
      <c r="D22" s="14"/>
      <c r="E22" s="10"/>
      <c r="F22" s="10"/>
      <c r="G22" s="10"/>
      <c r="H22" s="10"/>
      <c r="I22" s="10"/>
      <c r="K22" t="s">
        <v>16</v>
      </c>
      <c r="L22" s="11"/>
      <c r="M22" s="11"/>
      <c r="N22" s="11"/>
      <c r="O22" s="11"/>
      <c r="P22" s="11"/>
      <c r="Q22" s="11"/>
      <c r="R22" s="11"/>
    </row>
    <row r="23" spans="2:18" x14ac:dyDescent="0.3">
      <c r="B23" t="s">
        <v>15</v>
      </c>
      <c r="C23" s="4"/>
      <c r="D23" s="14"/>
      <c r="E23" s="10"/>
      <c r="F23" s="10"/>
      <c r="G23" s="10"/>
      <c r="H23" s="10"/>
      <c r="I23" s="10"/>
      <c r="K23" t="s">
        <v>15</v>
      </c>
      <c r="L23" s="11"/>
      <c r="M23" s="11"/>
      <c r="N23" s="11"/>
      <c r="O23" s="11"/>
      <c r="P23" s="11"/>
      <c r="Q23" s="11"/>
      <c r="R23" s="11"/>
    </row>
    <row r="24" spans="2:18" x14ac:dyDescent="0.3">
      <c r="B24" t="s">
        <v>12</v>
      </c>
      <c r="C24" s="4"/>
      <c r="D24" s="14"/>
      <c r="E24" s="10"/>
      <c r="F24" s="10"/>
      <c r="G24" s="10"/>
      <c r="H24" s="10"/>
      <c r="I24" s="10"/>
      <c r="K24" t="s">
        <v>12</v>
      </c>
      <c r="L24" s="11"/>
      <c r="M24" s="11"/>
      <c r="N24" s="11"/>
      <c r="O24" s="11"/>
      <c r="P24" s="11"/>
      <c r="Q24" s="11"/>
      <c r="R24" s="11"/>
    </row>
    <row r="25" spans="2:18" x14ac:dyDescent="0.3">
      <c r="B25" t="s">
        <v>13</v>
      </c>
      <c r="C25" s="4"/>
      <c r="D25" s="14"/>
      <c r="E25" s="10"/>
      <c r="F25" s="10"/>
      <c r="G25" s="10"/>
      <c r="H25" s="10"/>
      <c r="I25" s="10"/>
      <c r="K25" t="s">
        <v>13</v>
      </c>
      <c r="L25" s="11"/>
      <c r="M25" s="11"/>
      <c r="N25" s="11"/>
      <c r="O25" s="11"/>
      <c r="P25" s="11"/>
      <c r="Q25" s="11"/>
      <c r="R25" s="11"/>
    </row>
    <row r="26" spans="2:18" x14ac:dyDescent="0.3">
      <c r="B26" t="s">
        <v>17</v>
      </c>
      <c r="C26" s="4"/>
      <c r="D26" s="14"/>
      <c r="E26" s="10"/>
      <c r="F26" s="10"/>
      <c r="G26" s="10"/>
      <c r="H26" s="10"/>
      <c r="I26" s="10"/>
      <c r="K26" t="s">
        <v>17</v>
      </c>
      <c r="L26" s="11"/>
      <c r="M26" s="11"/>
      <c r="N26" s="11"/>
      <c r="O26" s="11"/>
      <c r="P26" s="11"/>
      <c r="Q26" s="11"/>
      <c r="R26" s="11"/>
    </row>
    <row r="29" spans="2:18" x14ac:dyDescent="0.3">
      <c r="C29" s="32" t="s">
        <v>117</v>
      </c>
      <c r="D29" s="32"/>
      <c r="E29" s="32"/>
      <c r="F29" s="32"/>
      <c r="G29" s="32"/>
    </row>
    <row r="30" spans="2:18" ht="57.6" x14ac:dyDescent="0.3">
      <c r="B30" s="6" t="s">
        <v>7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  <c r="K30" s="20"/>
      <c r="L30" s="20"/>
      <c r="N30" s="34" t="s">
        <v>56</v>
      </c>
      <c r="O30" s="35"/>
    </row>
    <row r="31" spans="2:18" x14ac:dyDescent="0.3">
      <c r="B31" t="s">
        <v>8</v>
      </c>
      <c r="C31" s="11">
        <v>0.54333893327121574</v>
      </c>
      <c r="D31" s="11">
        <v>0.4183802388811434</v>
      </c>
      <c r="E31" s="11">
        <v>0.68789868041169322</v>
      </c>
      <c r="F31" s="11">
        <v>0.44699244445659558</v>
      </c>
      <c r="G31" s="11">
        <v>0.64431982172267233</v>
      </c>
      <c r="K31" s="26" t="s">
        <v>114</v>
      </c>
      <c r="L31" s="26">
        <f>MEDIAN(N5:R13)</f>
        <v>0.48734581773089708</v>
      </c>
      <c r="N31" s="26" t="s">
        <v>55</v>
      </c>
      <c r="O31" s="23">
        <f xml:space="preserve"> AVERAGE(E11:I13)</f>
        <v>6.7967530617719513E-2</v>
      </c>
    </row>
    <row r="32" spans="2:18" x14ac:dyDescent="0.3">
      <c r="B32" t="s">
        <v>9</v>
      </c>
      <c r="C32" s="11">
        <v>0.43120086678779324</v>
      </c>
      <c r="D32" s="11">
        <v>0.27311175471373511</v>
      </c>
      <c r="E32" s="11">
        <v>0.60833400336514964</v>
      </c>
      <c r="F32" s="11">
        <v>0.34763131796984964</v>
      </c>
      <c r="G32" s="11">
        <v>0.34032741260100152</v>
      </c>
      <c r="K32" s="27" t="s">
        <v>47</v>
      </c>
      <c r="L32" s="24">
        <f>MEDIAN(E5:I13)</f>
        <v>3.6427985584560174E-2</v>
      </c>
      <c r="N32" s="27" t="s">
        <v>53</v>
      </c>
      <c r="O32" s="24">
        <f>AVERAGE(E5:I7)</f>
        <v>3.2576617715845177E-2</v>
      </c>
    </row>
    <row r="33" spans="2:15" x14ac:dyDescent="0.3">
      <c r="B33" t="s">
        <v>10</v>
      </c>
      <c r="C33" s="11">
        <v>0.45864530083444355</v>
      </c>
      <c r="D33" s="11">
        <v>0.28550624127656105</v>
      </c>
      <c r="E33" s="11">
        <v>0.18715953697182655</v>
      </c>
      <c r="F33" s="11">
        <v>0.24294157104674571</v>
      </c>
      <c r="G33" s="11">
        <v>0.28820832885101855</v>
      </c>
      <c r="K33" s="26" t="s">
        <v>115</v>
      </c>
      <c r="L33" s="26"/>
      <c r="N33" s="26" t="s">
        <v>54</v>
      </c>
      <c r="O33" s="23">
        <f>AVERAGE(E8:I10)</f>
        <v>3.5523962709488162E-2</v>
      </c>
    </row>
    <row r="34" spans="2:15" x14ac:dyDescent="0.3">
      <c r="B34" s="5" t="s">
        <v>11</v>
      </c>
      <c r="C34" s="11">
        <v>0.63134186359185185</v>
      </c>
      <c r="D34" s="11">
        <v>0.42815521573822762</v>
      </c>
      <c r="E34" s="11">
        <v>0.25642988053843641</v>
      </c>
      <c r="F34" s="11">
        <v>0.36171400536982801</v>
      </c>
      <c r="G34" s="11">
        <v>0.50374503284177441</v>
      </c>
      <c r="K34" s="27" t="s">
        <v>46</v>
      </c>
      <c r="L34" s="27"/>
      <c r="N34" s="27" t="s">
        <v>57</v>
      </c>
      <c r="O34" s="24">
        <f>AVERAGE(E5:I5, E8:I8,E11:I11)</f>
        <v>2.1179056931503237E-2</v>
      </c>
    </row>
    <row r="35" spans="2:15" x14ac:dyDescent="0.3">
      <c r="B35" t="s">
        <v>16</v>
      </c>
      <c r="C35" s="11">
        <v>0.62788983307815083</v>
      </c>
      <c r="D35" s="11">
        <v>0.29514129051041638</v>
      </c>
      <c r="E35" s="11">
        <v>0.5822857922415311</v>
      </c>
      <c r="F35" s="11">
        <v>0.31788552722821017</v>
      </c>
      <c r="G35" s="11">
        <v>0.66982773034302678</v>
      </c>
      <c r="K35" s="26" t="s">
        <v>48</v>
      </c>
      <c r="L35" s="26">
        <f>_xlfn.QUARTILE.INC(N5:R13, 1)</f>
        <v>0.47434881304628557</v>
      </c>
      <c r="N35" s="26" t="s">
        <v>58</v>
      </c>
      <c r="O35" s="23">
        <f t="shared" ref="O35:O36" si="0">AVERAGE(E6:I6, E9:I9,E12:I12)</f>
        <v>3.4947425487114887E-2</v>
      </c>
    </row>
    <row r="36" spans="2:15" x14ac:dyDescent="0.3">
      <c r="B36" t="s">
        <v>15</v>
      </c>
      <c r="C36" s="11">
        <v>0.74718524944757336</v>
      </c>
      <c r="D36" s="11">
        <v>0.13246512988277473</v>
      </c>
      <c r="E36" s="11">
        <v>0.16260623422619488</v>
      </c>
      <c r="F36" s="11">
        <v>0.25082287564267391</v>
      </c>
      <c r="G36" s="11">
        <v>0.25403715002842608</v>
      </c>
      <c r="K36" s="27" t="s">
        <v>51</v>
      </c>
      <c r="L36" s="24">
        <f>_xlfn.QUARTILE.INC(E5:I13,3)</f>
        <v>6.2125446257616068E-2</v>
      </c>
      <c r="N36" s="27" t="s">
        <v>59</v>
      </c>
      <c r="O36" s="24">
        <f t="shared" si="0"/>
        <v>7.9941628624434727E-2</v>
      </c>
    </row>
    <row r="37" spans="2:15" x14ac:dyDescent="0.3">
      <c r="B37" t="s">
        <v>12</v>
      </c>
      <c r="C37" s="11">
        <v>0.59089859171731096</v>
      </c>
      <c r="D37" s="11">
        <v>0.50849920347523336</v>
      </c>
      <c r="E37" s="11">
        <v>0.41572648422330361</v>
      </c>
      <c r="F37" s="11">
        <v>0.49112276827793672</v>
      </c>
      <c r="G37" s="11">
        <v>0.39876514566468446</v>
      </c>
      <c r="K37" s="26" t="s">
        <v>50</v>
      </c>
      <c r="L37" s="26">
        <f>_xlfn.QUARTILE.INC(N5:R13, 3)</f>
        <v>0.4994320626418805</v>
      </c>
      <c r="N37" s="26" t="s">
        <v>60</v>
      </c>
      <c r="O37" s="26">
        <f>AVERAGE(N5:R5,N8:R8,N11-R11)</f>
        <v>0.45229408569745949</v>
      </c>
    </row>
    <row r="38" spans="2:15" x14ac:dyDescent="0.3">
      <c r="B38" t="s">
        <v>13</v>
      </c>
      <c r="C38" s="11">
        <v>0.54176851959741379</v>
      </c>
      <c r="D38" s="11">
        <v>0.39582577578202893</v>
      </c>
      <c r="E38" s="11">
        <v>0.54328151027431648</v>
      </c>
      <c r="F38" s="11">
        <v>0.36076509531714246</v>
      </c>
      <c r="G38" s="11">
        <v>0.5833150424017608</v>
      </c>
      <c r="K38" s="27" t="s">
        <v>49</v>
      </c>
      <c r="L38" s="24">
        <f>_xlfn.QUARTILE.INC(E5:I13,1)</f>
        <v>1.2531263930481318E-2</v>
      </c>
      <c r="N38" s="27" t="s">
        <v>61</v>
      </c>
      <c r="O38" s="27">
        <f t="shared" ref="O38" si="1">AVERAGE(N6:R6,N9:R9,N12-R12)</f>
        <v>0.44872741362063628</v>
      </c>
    </row>
    <row r="39" spans="2:15" x14ac:dyDescent="0.3">
      <c r="B39" t="s">
        <v>17</v>
      </c>
      <c r="C39" s="11">
        <v>0.4511645355425325</v>
      </c>
      <c r="D39" s="11">
        <v>0.40545506247549101</v>
      </c>
      <c r="E39" s="11">
        <v>0.28302523118537315</v>
      </c>
      <c r="F39" s="11">
        <v>0.35190344839674181</v>
      </c>
      <c r="G39" s="11">
        <v>0.26474121203051215</v>
      </c>
      <c r="N39" s="26" t="s">
        <v>62</v>
      </c>
      <c r="O39" s="26">
        <f>AVERAGE(N7:R7,N10:R10,N13:R13)</f>
        <v>0.46533792249061973</v>
      </c>
    </row>
    <row r="40" spans="2:15" x14ac:dyDescent="0.3">
      <c r="N40" s="27" t="s">
        <v>63</v>
      </c>
      <c r="O40" s="24">
        <f>AVERAGE(E5:E13)</f>
        <v>1.2684525601043261E-2</v>
      </c>
    </row>
    <row r="41" spans="2:15" x14ac:dyDescent="0.3">
      <c r="N41" s="26" t="s">
        <v>64</v>
      </c>
      <c r="O41" s="23">
        <f>AVERAGE(F5:F13)</f>
        <v>5.001084501361968E-2</v>
      </c>
    </row>
    <row r="42" spans="2:15" x14ac:dyDescent="0.3">
      <c r="N42" s="27" t="s">
        <v>65</v>
      </c>
      <c r="O42" s="24">
        <f>AVERAGE(G5:G13)</f>
        <v>4.2693154806549213E-2</v>
      </c>
    </row>
    <row r="43" spans="2:15" x14ac:dyDescent="0.3">
      <c r="N43" s="26" t="s">
        <v>66</v>
      </c>
      <c r="O43" s="23">
        <f>AVERAGE(H5:H13)</f>
        <v>6.0994199500685617E-2</v>
      </c>
    </row>
    <row r="44" spans="2:15" x14ac:dyDescent="0.3">
      <c r="N44" s="27" t="s">
        <v>67</v>
      </c>
      <c r="O44" s="24">
        <f>AVERAGE(I5:I13)</f>
        <v>6.0397460149856967E-2</v>
      </c>
    </row>
    <row r="45" spans="2:15" x14ac:dyDescent="0.3">
      <c r="N45" s="26" t="s">
        <v>68</v>
      </c>
      <c r="O45" s="23">
        <f>AVERAGE(O41:O42)</f>
        <v>4.6351999910084443E-2</v>
      </c>
    </row>
    <row r="46" spans="2:15" x14ac:dyDescent="0.3">
      <c r="N46" s="27" t="s">
        <v>69</v>
      </c>
      <c r="O46" s="24">
        <f>AVERAGE(O43:O44)</f>
        <v>6.0695829825271289E-2</v>
      </c>
    </row>
  </sheetData>
  <mergeCells count="6">
    <mergeCell ref="N30:O30"/>
    <mergeCell ref="C3:I3"/>
    <mergeCell ref="C16:I16"/>
    <mergeCell ref="L16:R16"/>
    <mergeCell ref="L3:R3"/>
    <mergeCell ref="C29:G29"/>
  </mergeCells>
  <conditionalFormatting sqref="C31:G39">
    <cfRule type="colorScale" priority="4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C5:I13">
    <cfRule type="colorScale" priority="16">
      <colorScale>
        <cfvo type="num" val="0"/>
        <cfvo type="percentile" val="50"/>
        <cfvo type="max"/>
        <color rgb="FFFF4343"/>
        <color rgb="FFFFEB84"/>
        <color theme="9"/>
      </colorScale>
    </cfRule>
  </conditionalFormatting>
  <conditionalFormatting sqref="C18:I26">
    <cfRule type="colorScale" priority="20">
      <colorScale>
        <cfvo type="num" val="0"/>
        <cfvo type="percentile" val="50"/>
        <cfvo type="max"/>
        <color rgb="FFFF4343"/>
        <color rgb="FFFFEB84"/>
        <color rgb="FF00BC55"/>
      </colorScale>
    </cfRule>
  </conditionalFormatting>
  <conditionalFormatting sqref="K31:K38">
    <cfRule type="colorScale" priority="18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5:R13">
    <cfRule type="colorScale" priority="10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21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N31:N46">
    <cfRule type="colorScale" priority="17">
      <colorScale>
        <cfvo type="min"/>
        <cfvo type="percentile" val="50"/>
        <cfvo type="max"/>
        <color rgb="FF00BC55"/>
        <color rgb="FFFFEB84"/>
        <color rgb="FFEB2B0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476F-6229-4C80-9ADB-33F78CAFD9E8}">
  <dimension ref="B2:Y73"/>
  <sheetViews>
    <sheetView topLeftCell="C1" zoomScale="48" zoomScaleNormal="88" workbookViewId="0">
      <selection activeCell="K38" sqref="K38"/>
    </sheetView>
  </sheetViews>
  <sheetFormatPr defaultRowHeight="14.4" x14ac:dyDescent="0.3"/>
  <cols>
    <col min="2" max="2" width="47.33203125" customWidth="1"/>
    <col min="3" max="3" width="24.21875" customWidth="1"/>
    <col min="4" max="4" width="26.33203125" customWidth="1"/>
    <col min="5" max="5" width="29.21875" customWidth="1"/>
    <col min="6" max="6" width="34.21875" customWidth="1"/>
    <col min="7" max="7" width="20.33203125" customWidth="1"/>
    <col min="8" max="8" width="21.44140625" customWidth="1"/>
    <col min="9" max="10" width="24.21875" customWidth="1"/>
    <col min="11" max="11" width="34.44140625" customWidth="1"/>
    <col min="12" max="12" width="21" customWidth="1"/>
    <col min="13" max="13" width="23.109375" customWidth="1"/>
    <col min="14" max="14" width="27.33203125" customWidth="1"/>
    <col min="15" max="15" width="28.33203125" customWidth="1"/>
    <col min="16" max="16" width="18.88671875" customWidth="1"/>
    <col min="17" max="17" width="18.21875" customWidth="1"/>
    <col min="18" max="18" width="17.6640625" customWidth="1"/>
    <col min="19" max="19" width="18.21875" customWidth="1"/>
    <col min="20" max="20" width="15.33203125" customWidth="1"/>
    <col min="21" max="21" width="20.77734375" customWidth="1"/>
    <col min="22" max="22" width="17.88671875" customWidth="1"/>
    <col min="23" max="23" width="20" customWidth="1"/>
  </cols>
  <sheetData>
    <row r="2" spans="2:25" x14ac:dyDescent="0.3">
      <c r="L2" t="s">
        <v>70</v>
      </c>
    </row>
    <row r="3" spans="2:25" x14ac:dyDescent="0.3">
      <c r="C3" s="32" t="s">
        <v>34</v>
      </c>
      <c r="D3" s="32"/>
      <c r="E3" s="32"/>
      <c r="F3" s="32"/>
      <c r="G3" s="32"/>
      <c r="H3" s="32"/>
      <c r="I3" s="32"/>
      <c r="L3" s="32" t="s">
        <v>33</v>
      </c>
      <c r="M3" s="32"/>
      <c r="N3" s="32"/>
      <c r="O3" s="32"/>
      <c r="P3" s="32"/>
      <c r="Q3" s="32"/>
      <c r="R3" s="32"/>
    </row>
    <row r="4" spans="2:25" ht="36" customHeight="1" x14ac:dyDescent="0.3">
      <c r="B4" s="6" t="s">
        <v>18</v>
      </c>
      <c r="C4" s="2" t="s">
        <v>0</v>
      </c>
      <c r="D4" s="2" t="s">
        <v>19</v>
      </c>
      <c r="E4" s="9" t="s">
        <v>1</v>
      </c>
      <c r="F4" s="7" t="s">
        <v>2</v>
      </c>
      <c r="G4" s="7" t="s">
        <v>3</v>
      </c>
      <c r="H4" s="2" t="s">
        <v>4</v>
      </c>
      <c r="I4" s="2" t="s">
        <v>5</v>
      </c>
      <c r="K4" s="6" t="s">
        <v>6</v>
      </c>
      <c r="L4" s="12" t="s">
        <v>42</v>
      </c>
      <c r="M4" s="12" t="s">
        <v>25</v>
      </c>
      <c r="N4" s="1" t="s">
        <v>1</v>
      </c>
      <c r="O4" s="7" t="s">
        <v>2</v>
      </c>
      <c r="P4" s="7" t="s">
        <v>3</v>
      </c>
      <c r="Q4" s="2" t="s">
        <v>4</v>
      </c>
      <c r="R4" s="2" t="s">
        <v>5</v>
      </c>
    </row>
    <row r="5" spans="2:25" x14ac:dyDescent="0.3">
      <c r="B5" t="s">
        <v>8</v>
      </c>
      <c r="C5" s="4">
        <v>0</v>
      </c>
      <c r="D5" s="8">
        <v>0.23150000000000001</v>
      </c>
      <c r="E5" s="10">
        <v>1.4146347696898265E-2</v>
      </c>
      <c r="F5" s="10">
        <v>0.10263203402558541</v>
      </c>
      <c r="G5" s="10">
        <v>0.12910021556696394</v>
      </c>
      <c r="H5" s="10">
        <v>0.10499166554459394</v>
      </c>
      <c r="I5" s="10">
        <v>0.10263203402558541</v>
      </c>
      <c r="K5" t="s">
        <v>8</v>
      </c>
      <c r="L5" s="11">
        <v>0.29786000000000001</v>
      </c>
      <c r="M5" s="11">
        <v>0.22889999999999999</v>
      </c>
      <c r="N5" s="11">
        <v>0.2936463688750019</v>
      </c>
      <c r="O5" s="11">
        <v>0.26729002234513916</v>
      </c>
      <c r="P5" s="11">
        <v>0.25940620979122414</v>
      </c>
      <c r="Q5" s="11">
        <v>0.26658718250088725</v>
      </c>
      <c r="R5" s="11">
        <v>0.26729002234513916</v>
      </c>
    </row>
    <row r="6" spans="2:25" x14ac:dyDescent="0.3">
      <c r="B6" t="s">
        <v>9</v>
      </c>
      <c r="C6" s="4">
        <v>0</v>
      </c>
      <c r="D6" s="8">
        <v>0.2276</v>
      </c>
      <c r="E6" s="10">
        <v>1.3798420168875336E-2</v>
      </c>
      <c r="F6" s="10">
        <v>0.11464517709300326</v>
      </c>
      <c r="G6" s="10">
        <v>1.1221116599917424E-2</v>
      </c>
      <c r="H6" s="10">
        <v>0.14486503476201396</v>
      </c>
      <c r="I6" s="10">
        <v>1.8419516343739062E-2</v>
      </c>
      <c r="K6" t="s">
        <v>9</v>
      </c>
      <c r="L6" s="11">
        <v>0.29786000000000001</v>
      </c>
      <c r="M6" s="11">
        <v>0.23005999999999999</v>
      </c>
      <c r="N6" s="11">
        <v>0.29375000256849881</v>
      </c>
      <c r="O6" s="11">
        <v>0.26371178755107805</v>
      </c>
      <c r="P6" s="11">
        <v>0.29451767820954861</v>
      </c>
      <c r="Q6" s="11">
        <v>0.25471050074578655</v>
      </c>
      <c r="R6" s="11">
        <v>0.2923735628618539</v>
      </c>
    </row>
    <row r="7" spans="2:25" x14ac:dyDescent="0.3">
      <c r="B7" t="s">
        <v>10</v>
      </c>
      <c r="C7" s="4">
        <v>0</v>
      </c>
      <c r="D7" s="8">
        <v>0.22322</v>
      </c>
      <c r="E7" s="10">
        <v>1.3798420168875336E-2</v>
      </c>
      <c r="F7" s="10">
        <v>6.5182731045024256E-2</v>
      </c>
      <c r="G7" s="10">
        <v>0.12759028727570343</v>
      </c>
      <c r="H7" s="10">
        <v>0.12127386315671962</v>
      </c>
      <c r="I7" s="10">
        <v>0.12972491656624285</v>
      </c>
      <c r="K7" t="s">
        <v>10</v>
      </c>
      <c r="L7" s="11">
        <v>0.29786000000000001</v>
      </c>
      <c r="M7" s="11">
        <v>0.23136999999999999</v>
      </c>
      <c r="N7" s="11">
        <v>0.29375000256849881</v>
      </c>
      <c r="O7" s="11">
        <v>0.27844467173092907</v>
      </c>
      <c r="P7" s="11">
        <v>0.25985595703205899</v>
      </c>
      <c r="Q7" s="11">
        <v>0.26173736712013951</v>
      </c>
      <c r="R7" s="11">
        <v>0.25922013635157892</v>
      </c>
    </row>
    <row r="8" spans="2:25" ht="21" customHeight="1" x14ac:dyDescent="0.3">
      <c r="B8" s="5" t="s">
        <v>11</v>
      </c>
      <c r="C8" s="4">
        <v>0</v>
      </c>
      <c r="D8" s="8">
        <v>0.23150000000000001</v>
      </c>
      <c r="E8" s="10">
        <v>5.6094996011426534E-3</v>
      </c>
      <c r="F8" s="10">
        <v>0.10499166554459394</v>
      </c>
      <c r="G8" s="10">
        <v>0.14606089638707953</v>
      </c>
      <c r="H8" s="10">
        <v>0.1415748473451387</v>
      </c>
      <c r="I8" s="10">
        <v>0.1288397087334896</v>
      </c>
      <c r="K8" s="5" t="s">
        <v>11</v>
      </c>
      <c r="L8" s="11">
        <v>0.29786000000000001</v>
      </c>
      <c r="M8" s="11">
        <v>0.22889999999999999</v>
      </c>
      <c r="N8" s="11">
        <v>0.29618915444880367</v>
      </c>
      <c r="O8" s="11">
        <v>0.26658718250088725</v>
      </c>
      <c r="P8" s="11">
        <v>0.25435430140214449</v>
      </c>
      <c r="Q8" s="11">
        <v>0.25569051596977699</v>
      </c>
      <c r="R8" s="11">
        <v>0.25948380435664281</v>
      </c>
    </row>
    <row r="9" spans="2:25" x14ac:dyDescent="0.3">
      <c r="B9" t="s">
        <v>16</v>
      </c>
      <c r="C9" s="4">
        <v>0</v>
      </c>
      <c r="D9" s="8">
        <v>0.2276</v>
      </c>
      <c r="E9" s="10">
        <v>2.3948900649845117E-2</v>
      </c>
      <c r="F9" s="10">
        <v>0.13386283576320213</v>
      </c>
      <c r="G9" s="10">
        <v>7.9116120204560936E-3</v>
      </c>
      <c r="H9" s="10">
        <v>9.8617504392746747E-2</v>
      </c>
      <c r="I9" s="10">
        <v>7.9116120204560936E-3</v>
      </c>
      <c r="K9" t="s">
        <v>16</v>
      </c>
      <c r="L9" s="11">
        <v>0.29786000000000001</v>
      </c>
      <c r="M9" s="11">
        <v>0.23005999999999999</v>
      </c>
      <c r="N9" s="11">
        <v>0.29072658045243716</v>
      </c>
      <c r="O9" s="11">
        <v>0.25798761573957263</v>
      </c>
      <c r="P9" s="11">
        <v>0.29550344724358696</v>
      </c>
      <c r="Q9" s="11">
        <v>0.26848579014157647</v>
      </c>
      <c r="R9" s="11">
        <v>0.29550344724358696</v>
      </c>
    </row>
    <row r="10" spans="2:25" x14ac:dyDescent="0.3">
      <c r="B10" t="s">
        <v>15</v>
      </c>
      <c r="C10" s="4">
        <v>0</v>
      </c>
      <c r="D10" s="8">
        <v>0.22322</v>
      </c>
      <c r="E10" s="10">
        <v>3.362894516678816E-3</v>
      </c>
      <c r="F10" s="10">
        <v>0.17653684104068224</v>
      </c>
      <c r="G10" s="10">
        <v>7.7114823261133392E-2</v>
      </c>
      <c r="H10" s="10">
        <v>0.11992831462533549</v>
      </c>
      <c r="I10" s="10">
        <v>4.7256076019560611E-2</v>
      </c>
      <c r="K10" t="s">
        <v>14</v>
      </c>
      <c r="L10" s="11">
        <v>0.29786000000000001</v>
      </c>
      <c r="M10" s="11">
        <v>0.23136999999999999</v>
      </c>
      <c r="N10" s="11">
        <v>0.29685832823926206</v>
      </c>
      <c r="O10" s="11">
        <v>0.24527673652762239</v>
      </c>
      <c r="P10" s="11">
        <v>0.27489057874343881</v>
      </c>
      <c r="Q10" s="11">
        <v>0.26213815220569758</v>
      </c>
      <c r="R10" s="11">
        <v>0.28378430519681369</v>
      </c>
    </row>
    <row r="11" spans="2:25" x14ac:dyDescent="0.3">
      <c r="B11" t="s">
        <v>12</v>
      </c>
      <c r="C11" s="4">
        <v>0</v>
      </c>
      <c r="D11" s="8">
        <v>0.32350000000000001</v>
      </c>
      <c r="E11" s="10">
        <v>4.0103339925233406E-2</v>
      </c>
      <c r="F11" s="10">
        <v>0.14045915362547379</v>
      </c>
      <c r="G11" s="10">
        <v>0.16113963302603085</v>
      </c>
      <c r="H11" s="10">
        <v>0.14045915362547379</v>
      </c>
      <c r="I11" s="10">
        <v>0.16357587551794806</v>
      </c>
      <c r="K11" t="s">
        <v>12</v>
      </c>
      <c r="L11" s="11">
        <v>0.29786000000000001</v>
      </c>
      <c r="M11" s="11">
        <v>0.20150000000000001</v>
      </c>
      <c r="N11" s="11">
        <v>0.28591481916986999</v>
      </c>
      <c r="O11" s="11">
        <v>0.2560228365011164</v>
      </c>
      <c r="P11" s="11">
        <v>0.24986294890686647</v>
      </c>
      <c r="Q11" s="11">
        <v>0.2560228365011164</v>
      </c>
      <c r="R11" s="11">
        <v>0.24913728971822402</v>
      </c>
    </row>
    <row r="12" spans="2:25" x14ac:dyDescent="0.3">
      <c r="B12" t="s">
        <v>13</v>
      </c>
      <c r="C12" s="4">
        <v>0</v>
      </c>
      <c r="D12" s="8">
        <v>0.31490000000000001</v>
      </c>
      <c r="E12" s="10">
        <v>0.15449751807767098</v>
      </c>
      <c r="F12" s="10">
        <v>0.1234722903661013</v>
      </c>
      <c r="G12" s="10">
        <v>0.19242281625788282</v>
      </c>
      <c r="H12" s="10">
        <v>0.15677567508236967</v>
      </c>
      <c r="I12" s="10">
        <v>0.21195777343891853</v>
      </c>
      <c r="K12" t="s">
        <v>13</v>
      </c>
      <c r="L12" s="11">
        <v>0.29786000000000001</v>
      </c>
      <c r="M12" s="11">
        <v>0.20405999999999999</v>
      </c>
      <c r="N12" s="11">
        <v>0.25184136926538492</v>
      </c>
      <c r="O12" s="11">
        <v>0.26108254359155308</v>
      </c>
      <c r="P12" s="11">
        <v>0.24054493994942702</v>
      </c>
      <c r="Q12" s="11">
        <v>0.25116279741996539</v>
      </c>
      <c r="R12" s="11">
        <v>0.23472625760348373</v>
      </c>
    </row>
    <row r="13" spans="2:25" x14ac:dyDescent="0.3">
      <c r="B13" t="s">
        <v>17</v>
      </c>
      <c r="C13" s="4">
        <v>0</v>
      </c>
      <c r="D13" s="8">
        <v>0.3019</v>
      </c>
      <c r="E13" s="10">
        <v>0.1819931805829339</v>
      </c>
      <c r="F13" s="10">
        <v>0.16306738480035932</v>
      </c>
      <c r="G13" s="10">
        <v>0.16979044824338296</v>
      </c>
      <c r="H13" s="10">
        <v>0.24990009662551282</v>
      </c>
      <c r="I13" s="10">
        <v>0.23584408626942555</v>
      </c>
      <c r="K13" t="s">
        <v>17</v>
      </c>
      <c r="L13" s="11">
        <v>0.29786000000000001</v>
      </c>
      <c r="M13" s="11">
        <v>0.20795</v>
      </c>
      <c r="N13" s="11">
        <v>0.24365151123156731</v>
      </c>
      <c r="O13" s="11">
        <v>0.24928874876336499</v>
      </c>
      <c r="P13" s="11">
        <v>0.24728621708622595</v>
      </c>
      <c r="Q13" s="11">
        <v>0.22342475721912478</v>
      </c>
      <c r="R13" s="11">
        <v>0.22761148046378893</v>
      </c>
    </row>
    <row r="14" spans="2:25" x14ac:dyDescent="0.3">
      <c r="X14" s="11"/>
      <c r="Y14" s="11"/>
    </row>
    <row r="15" spans="2:25" x14ac:dyDescent="0.3">
      <c r="L15" t="s">
        <v>71</v>
      </c>
      <c r="X15" s="11"/>
      <c r="Y15" s="11"/>
    </row>
    <row r="16" spans="2:25" x14ac:dyDescent="0.3">
      <c r="C16" s="32" t="s">
        <v>35</v>
      </c>
      <c r="D16" s="32"/>
      <c r="E16" s="32"/>
      <c r="F16" s="32"/>
      <c r="G16" s="32"/>
      <c r="H16" s="32"/>
      <c r="I16" s="32"/>
      <c r="L16" s="32" t="s">
        <v>26</v>
      </c>
      <c r="M16" s="32"/>
      <c r="N16" s="32"/>
      <c r="O16" s="32"/>
      <c r="P16" s="32"/>
      <c r="Q16" s="32"/>
      <c r="R16" s="32"/>
    </row>
    <row r="17" spans="2:18" ht="43.2" x14ac:dyDescent="0.3">
      <c r="B17" s="6" t="s">
        <v>18</v>
      </c>
      <c r="C17" s="2" t="s">
        <v>43</v>
      </c>
      <c r="D17" s="2" t="s">
        <v>19</v>
      </c>
      <c r="E17" s="1" t="s">
        <v>1</v>
      </c>
      <c r="F17" s="7" t="s">
        <v>2</v>
      </c>
      <c r="G17" s="7" t="s">
        <v>3</v>
      </c>
      <c r="H17" s="2" t="s">
        <v>4</v>
      </c>
      <c r="I17" s="2" t="s">
        <v>5</v>
      </c>
      <c r="K17" s="6" t="s">
        <v>6</v>
      </c>
      <c r="L17" s="12" t="s">
        <v>24</v>
      </c>
      <c r="M17" s="12" t="s">
        <v>25</v>
      </c>
      <c r="N17" s="1" t="s">
        <v>1</v>
      </c>
      <c r="O17" s="7" t="s">
        <v>2</v>
      </c>
      <c r="P17" s="7" t="s">
        <v>3</v>
      </c>
      <c r="Q17" s="2" t="s">
        <v>4</v>
      </c>
      <c r="R17" s="2" t="s">
        <v>5</v>
      </c>
    </row>
    <row r="18" spans="2:18" x14ac:dyDescent="0.3">
      <c r="B18" t="s">
        <v>8</v>
      </c>
      <c r="C18" s="4">
        <v>0</v>
      </c>
      <c r="D18" s="8">
        <v>0.20835999999999999</v>
      </c>
      <c r="E18" s="10">
        <v>2.3585214185247727E-3</v>
      </c>
      <c r="F18" s="10">
        <v>5.4528403494483291E-2</v>
      </c>
      <c r="G18" s="10">
        <v>6.0017820853749071E-2</v>
      </c>
      <c r="H18" s="10">
        <v>4.7425893623172177E-2</v>
      </c>
      <c r="I18" s="10">
        <v>5.4528403494483291E-2</v>
      </c>
      <c r="K18" t="s">
        <v>8</v>
      </c>
      <c r="L18" s="11">
        <v>0.46212999999999999</v>
      </c>
      <c r="M18" s="11">
        <v>0.36584</v>
      </c>
      <c r="N18" s="11">
        <v>0.46104005649685714</v>
      </c>
      <c r="O18" s="11">
        <v>0.43693078889309445</v>
      </c>
      <c r="P18" s="11">
        <v>0.43439396444885692</v>
      </c>
      <c r="Q18" s="11">
        <v>0.44021307177992341</v>
      </c>
      <c r="R18" s="11">
        <v>0.43693078889309445</v>
      </c>
    </row>
    <row r="19" spans="2:18" x14ac:dyDescent="0.3">
      <c r="B19" t="s">
        <v>9</v>
      </c>
      <c r="C19" s="4">
        <v>0</v>
      </c>
      <c r="D19" s="8">
        <v>0.19700000000000001</v>
      </c>
      <c r="E19" s="10">
        <v>2.5809114139450084E-3</v>
      </c>
      <c r="F19" s="10">
        <v>5.3481994822287771E-2</v>
      </c>
      <c r="G19" s="10">
        <v>8.2936524272669843E-4</v>
      </c>
      <c r="H19" s="10">
        <v>6.5773350500972438E-2</v>
      </c>
      <c r="I19" s="10">
        <v>3.2698477658235081E-3</v>
      </c>
      <c r="K19" t="s">
        <v>9</v>
      </c>
      <c r="L19" s="11">
        <v>0.46212999999999999</v>
      </c>
      <c r="M19" s="11">
        <v>0.37108999999999998</v>
      </c>
      <c r="N19" s="11">
        <v>0.46093728340827356</v>
      </c>
      <c r="O19" s="11">
        <v>0.43741436573277614</v>
      </c>
      <c r="P19" s="11">
        <v>0.4617467254403787</v>
      </c>
      <c r="Q19" s="11">
        <v>0.43173416153298561</v>
      </c>
      <c r="R19" s="11">
        <v>0.46061890525197996</v>
      </c>
    </row>
    <row r="20" spans="2:18" x14ac:dyDescent="0.3">
      <c r="B20" t="s">
        <v>10</v>
      </c>
      <c r="C20" s="4">
        <v>0</v>
      </c>
      <c r="D20" s="8">
        <v>0.18776000000000001</v>
      </c>
      <c r="E20" s="10">
        <v>2.5809114139450084E-3</v>
      </c>
      <c r="F20" s="10">
        <v>4.5706503786064223E-2</v>
      </c>
      <c r="G20" s="10">
        <v>8.8634061325901126E-2</v>
      </c>
      <c r="H20" s="10">
        <v>9.1990274280705719E-2</v>
      </c>
      <c r="I20" s="10">
        <v>9.9156905448808064E-2</v>
      </c>
      <c r="K20" t="s">
        <v>10</v>
      </c>
      <c r="L20" s="11">
        <v>0.46212999999999999</v>
      </c>
      <c r="M20" s="11">
        <v>0.37536000000000003</v>
      </c>
      <c r="N20" s="11">
        <v>0.46093728340827356</v>
      </c>
      <c r="O20" s="11">
        <v>0.44100765340534615</v>
      </c>
      <c r="P20" s="11">
        <v>0.42116954123946132</v>
      </c>
      <c r="Q20" s="11">
        <v>0.41961853454665743</v>
      </c>
      <c r="R20" s="11">
        <v>0.41630661928494234</v>
      </c>
    </row>
    <row r="21" spans="2:18" x14ac:dyDescent="0.3">
      <c r="B21" s="5" t="s">
        <v>11</v>
      </c>
      <c r="C21" s="4">
        <v>0</v>
      </c>
      <c r="D21" s="8">
        <v>0.20835999999999999</v>
      </c>
      <c r="E21" s="10">
        <v>1.8783713044445927E-2</v>
      </c>
      <c r="F21" s="10">
        <v>4.7425893623172177E-2</v>
      </c>
      <c r="G21" s="10">
        <v>7.9574896906734138E-2</v>
      </c>
      <c r="H21" s="10">
        <v>8.2857447428508202E-2</v>
      </c>
      <c r="I21" s="10">
        <v>6.3465985882607434E-2</v>
      </c>
      <c r="K21" s="5" t="s">
        <v>11</v>
      </c>
      <c r="L21" s="11">
        <v>0.46212999999999999</v>
      </c>
      <c r="M21" s="11">
        <v>0.36584</v>
      </c>
      <c r="N21" s="11">
        <v>0.45344948269077018</v>
      </c>
      <c r="O21" s="11">
        <v>0.44021307177992341</v>
      </c>
      <c r="P21" s="11">
        <v>0.42535605289249095</v>
      </c>
      <c r="Q21" s="11">
        <v>0.42383908781986351</v>
      </c>
      <c r="R21" s="11">
        <v>0.43280046394407062</v>
      </c>
    </row>
    <row r="22" spans="2:18" x14ac:dyDescent="0.3">
      <c r="B22" t="s">
        <v>16</v>
      </c>
      <c r="C22" s="4">
        <v>0</v>
      </c>
      <c r="D22" s="8">
        <v>0.19700000000000001</v>
      </c>
      <c r="E22" s="10">
        <v>3.8868711651018906E-3</v>
      </c>
      <c r="F22" s="10">
        <v>6.9594185814115916E-2</v>
      </c>
      <c r="G22" s="10">
        <v>9.8486267717134979E-5</v>
      </c>
      <c r="H22" s="10">
        <v>6.9594185814115916E-2</v>
      </c>
      <c r="I22" s="10">
        <v>9.8486267717134979E-5</v>
      </c>
      <c r="K22" t="s">
        <v>16</v>
      </c>
      <c r="L22" s="11">
        <v>0.46212999999999999</v>
      </c>
      <c r="M22" s="11">
        <v>0.37108999999999998</v>
      </c>
      <c r="N22" s="11">
        <v>0.46033376022847144</v>
      </c>
      <c r="O22" s="11">
        <v>0.42996843890972258</v>
      </c>
      <c r="P22" s="11">
        <v>0.46208448654109985</v>
      </c>
      <c r="Q22" s="11">
        <v>0.42996843890972258</v>
      </c>
      <c r="R22" s="11">
        <v>0.46208448654109985</v>
      </c>
    </row>
    <row r="23" spans="2:18" x14ac:dyDescent="0.3">
      <c r="B23" t="s">
        <v>15</v>
      </c>
      <c r="C23" s="4">
        <v>0</v>
      </c>
      <c r="D23" s="8">
        <v>0.18776000000000001</v>
      </c>
      <c r="E23" s="10">
        <v>7.6871948539192214E-4</v>
      </c>
      <c r="F23" s="10">
        <v>0.13456273827387932</v>
      </c>
      <c r="G23" s="10">
        <v>6.734104716780287E-2</v>
      </c>
      <c r="H23" s="10">
        <v>7.1117469044993942E-2</v>
      </c>
      <c r="I23" s="10">
        <v>3.196569355374046E-2</v>
      </c>
      <c r="K23" t="s">
        <v>15</v>
      </c>
      <c r="L23" s="11">
        <v>0.46212999999999999</v>
      </c>
      <c r="M23" s="11">
        <v>0.37536000000000003</v>
      </c>
      <c r="N23" s="11">
        <v>0.46177475166421583</v>
      </c>
      <c r="O23" s="11">
        <v>0.39994452176149214</v>
      </c>
      <c r="P23" s="11">
        <v>0.43100968187234323</v>
      </c>
      <c r="Q23" s="11">
        <v>0.42926448403023693</v>
      </c>
      <c r="R23" s="11">
        <v>0.4473576940380099</v>
      </c>
    </row>
    <row r="24" spans="2:18" x14ac:dyDescent="0.3">
      <c r="B24" t="s">
        <v>12</v>
      </c>
      <c r="C24" s="4">
        <v>0</v>
      </c>
      <c r="D24" s="8">
        <v>0.27810000000000001</v>
      </c>
      <c r="E24" s="10">
        <v>2.6129938102898653E-2</v>
      </c>
      <c r="F24" s="10">
        <v>6.6605419797758803E-2</v>
      </c>
      <c r="G24" s="10">
        <v>8.4323474803684184E-2</v>
      </c>
      <c r="H24" s="10">
        <v>6.6605419797758803E-2</v>
      </c>
      <c r="I24" s="10">
        <v>8.4832003466418726E-2</v>
      </c>
      <c r="K24" t="s">
        <v>12</v>
      </c>
      <c r="L24" s="11">
        <v>0.46212999999999999</v>
      </c>
      <c r="M24" s="11">
        <v>0.33360000000000001</v>
      </c>
      <c r="N24" s="11">
        <v>0.45005457170450741</v>
      </c>
      <c r="O24" s="11">
        <v>0.43134963734886173</v>
      </c>
      <c r="P24" s="11">
        <v>0.4231615925889734</v>
      </c>
      <c r="Q24" s="11">
        <v>0.43134963734886173</v>
      </c>
      <c r="R24" s="11">
        <v>0.4229265862380639</v>
      </c>
    </row>
    <row r="25" spans="2:18" x14ac:dyDescent="0.3">
      <c r="B25" t="s">
        <v>13</v>
      </c>
      <c r="C25" s="4">
        <v>0</v>
      </c>
      <c r="D25" s="8">
        <v>0.26579999999999998</v>
      </c>
      <c r="E25" s="10">
        <v>0.11018517692645136</v>
      </c>
      <c r="F25" s="10">
        <v>4.8641187726677804E-2</v>
      </c>
      <c r="G25" s="10">
        <v>0.12685656542403645</v>
      </c>
      <c r="H25" s="10">
        <v>7.3778710468070163E-2</v>
      </c>
      <c r="I25" s="10">
        <v>0.14596943989842315</v>
      </c>
      <c r="K25" t="s">
        <v>13</v>
      </c>
      <c r="L25" s="11">
        <v>0.46212999999999999</v>
      </c>
      <c r="M25" s="11">
        <v>0.33928000000000003</v>
      </c>
      <c r="N25" s="11">
        <v>0.411210124186979</v>
      </c>
      <c r="O25" s="11">
        <v>0.43965144791587035</v>
      </c>
      <c r="P25" s="11">
        <v>0.40350577542059002</v>
      </c>
      <c r="Q25" s="11">
        <v>0.42803464453139073</v>
      </c>
      <c r="R25" s="11">
        <v>0.39467314273974169</v>
      </c>
    </row>
    <row r="26" spans="2:18" x14ac:dyDescent="0.3">
      <c r="B26" t="s">
        <v>17</v>
      </c>
      <c r="C26" s="4">
        <v>0</v>
      </c>
      <c r="D26" s="8">
        <v>0.254</v>
      </c>
      <c r="E26" s="10">
        <v>0.14053892031061876</v>
      </c>
      <c r="F26" s="10">
        <v>0.10115781953260194</v>
      </c>
      <c r="G26" s="10">
        <v>0.13976015864557489</v>
      </c>
      <c r="H26" s="10">
        <v>0.19506906048680839</v>
      </c>
      <c r="I26" s="10">
        <v>0.19985503652037284</v>
      </c>
      <c r="K26" t="s">
        <v>17</v>
      </c>
      <c r="L26" s="11">
        <v>0.46212999999999999</v>
      </c>
      <c r="M26" s="11">
        <v>0.34478999999999999</v>
      </c>
      <c r="N26" s="11">
        <v>0.39718274875685372</v>
      </c>
      <c r="O26" s="11">
        <v>0.41538193685939867</v>
      </c>
      <c r="P26" s="11">
        <v>0.39754263788512045</v>
      </c>
      <c r="Q26" s="11">
        <v>0.37198273507723123</v>
      </c>
      <c r="R26" s="11">
        <v>0.36977099197284008</v>
      </c>
    </row>
    <row r="29" spans="2:18" x14ac:dyDescent="0.3">
      <c r="C29" s="32" t="s">
        <v>117</v>
      </c>
      <c r="D29" s="32"/>
      <c r="E29" s="32"/>
      <c r="F29" s="32"/>
      <c r="G29" s="32"/>
    </row>
    <row r="30" spans="2:18" ht="28.8" x14ac:dyDescent="0.3">
      <c r="B30" s="6" t="s">
        <v>6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</row>
    <row r="31" spans="2:18" x14ac:dyDescent="0.3">
      <c r="B31" t="s">
        <v>8</v>
      </c>
      <c r="C31" s="11">
        <v>0.28168623532160236</v>
      </c>
      <c r="D31" s="11">
        <v>0.43066175665407452</v>
      </c>
      <c r="E31" s="11">
        <v>0.25796163162902325</v>
      </c>
      <c r="F31" s="11">
        <v>0.5195374634038521</v>
      </c>
      <c r="G31" s="11">
        <v>0.40928028605009537</v>
      </c>
    </row>
    <row r="32" spans="2:18" x14ac:dyDescent="0.3">
      <c r="B32" t="s">
        <v>9</v>
      </c>
      <c r="C32" s="11">
        <v>0.4308586396454433</v>
      </c>
      <c r="D32" s="11">
        <v>0.24537313197415347</v>
      </c>
      <c r="E32" s="11">
        <v>0.37825715352879985</v>
      </c>
      <c r="F32" s="11">
        <v>0.24830676983312117</v>
      </c>
      <c r="G32" s="11">
        <v>0.348740000749101</v>
      </c>
    </row>
    <row r="33" spans="2:11" x14ac:dyDescent="0.3">
      <c r="B33" t="s">
        <v>10</v>
      </c>
      <c r="C33" s="11">
        <v>0.52421972329863709</v>
      </c>
      <c r="D33" s="11">
        <v>0.18386756938235421</v>
      </c>
      <c r="E33" s="11">
        <v>0.14596488567357374</v>
      </c>
      <c r="F33" s="11">
        <v>0.24558049852815811</v>
      </c>
      <c r="G33" s="11">
        <v>0.22927885734695994</v>
      </c>
    </row>
    <row r="34" spans="2:11" x14ac:dyDescent="0.3">
      <c r="B34" s="5" t="s">
        <v>11</v>
      </c>
      <c r="C34" s="11">
        <v>0.29580469462410541</v>
      </c>
      <c r="D34" s="11">
        <v>0.39508159229850914</v>
      </c>
      <c r="E34" s="11">
        <v>0.2882648764674362</v>
      </c>
      <c r="F34" s="11">
        <v>0.26886926851793097</v>
      </c>
      <c r="G34" s="11">
        <v>0.31413411572180971</v>
      </c>
    </row>
    <row r="35" spans="2:11" x14ac:dyDescent="0.3">
      <c r="B35" t="s">
        <v>16</v>
      </c>
      <c r="C35" s="11">
        <v>0.25190333239777679</v>
      </c>
      <c r="D35" s="11">
        <v>0.20004011359384807</v>
      </c>
      <c r="E35" s="11">
        <v>0.44545584131932514</v>
      </c>
      <c r="F35" s="11">
        <v>0.25737166939541817</v>
      </c>
      <c r="G35" s="11">
        <v>0.3879174335140092</v>
      </c>
    </row>
    <row r="36" spans="2:11" x14ac:dyDescent="0.3">
      <c r="B36" t="s">
        <v>15</v>
      </c>
      <c r="C36" s="11">
        <v>0.68813038789775927</v>
      </c>
      <c r="D36" s="11">
        <v>8.346492380612483E-2</v>
      </c>
      <c r="E36" s="11">
        <v>8.1847889845071992E-2</v>
      </c>
      <c r="F36" s="11">
        <v>0.13216268333364706</v>
      </c>
      <c r="G36" s="11">
        <v>9.0662127727675179E-2</v>
      </c>
    </row>
    <row r="37" spans="2:11" x14ac:dyDescent="0.3">
      <c r="B37" t="s">
        <v>12</v>
      </c>
      <c r="C37" s="11">
        <v>0.43572488385259489</v>
      </c>
      <c r="D37" s="11">
        <v>0.53294220394187952</v>
      </c>
      <c r="E37" s="11">
        <v>0.45187443318022386</v>
      </c>
      <c r="F37" s="11">
        <v>0.52451673889102479</v>
      </c>
      <c r="G37" s="11">
        <v>0.43035586964596484</v>
      </c>
    </row>
    <row r="38" spans="2:11" x14ac:dyDescent="0.3">
      <c r="B38" t="s">
        <v>13</v>
      </c>
      <c r="C38" s="11">
        <v>0.35202593411637939</v>
      </c>
      <c r="D38" s="11">
        <v>0.33396127152147148</v>
      </c>
      <c r="E38" s="11">
        <v>0.40526757449241269</v>
      </c>
      <c r="F38" s="11">
        <v>0.33322824545635676</v>
      </c>
      <c r="G38" s="11">
        <v>0.29493826289507735</v>
      </c>
    </row>
    <row r="39" spans="2:11" x14ac:dyDescent="0.3">
      <c r="B39" t="s">
        <v>17</v>
      </c>
      <c r="C39" s="11">
        <v>0.47600062055433007</v>
      </c>
      <c r="D39" s="11">
        <v>0.30426080828216195</v>
      </c>
      <c r="E39" s="11">
        <v>0.31330089699734431</v>
      </c>
      <c r="F39" s="11">
        <v>0.34827687707158872</v>
      </c>
      <c r="G39" s="11">
        <v>0.31804049752702318</v>
      </c>
    </row>
    <row r="46" spans="2:11" x14ac:dyDescent="0.3">
      <c r="K46" s="10"/>
    </row>
    <row r="47" spans="2:11" x14ac:dyDescent="0.3">
      <c r="K47" s="10"/>
    </row>
    <row r="48" spans="2:11" x14ac:dyDescent="0.3">
      <c r="K48" s="10"/>
    </row>
    <row r="49" spans="3:25" x14ac:dyDescent="0.3">
      <c r="K49" s="10"/>
    </row>
    <row r="50" spans="3:25" x14ac:dyDescent="0.3">
      <c r="K50" s="10"/>
    </row>
    <row r="51" spans="3:25" x14ac:dyDescent="0.3">
      <c r="K51" s="10"/>
    </row>
    <row r="52" spans="3:25" x14ac:dyDescent="0.3">
      <c r="K52" s="10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3:25" x14ac:dyDescent="0.3"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3:25" x14ac:dyDescent="0.3"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3:25" x14ac:dyDescent="0.3">
      <c r="C55" s="4"/>
      <c r="D55" s="8"/>
      <c r="E55" s="10"/>
      <c r="F55" s="10"/>
      <c r="G55" s="10"/>
      <c r="H55" s="10"/>
      <c r="I55" s="10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3:25" x14ac:dyDescent="0.3">
      <c r="C56" s="4"/>
      <c r="D56" s="8"/>
      <c r="E56" s="10"/>
      <c r="F56" s="10"/>
      <c r="G56" s="10"/>
      <c r="H56" s="10"/>
      <c r="I56" s="10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3:25" x14ac:dyDescent="0.3">
      <c r="C57" s="4"/>
      <c r="D57" s="8"/>
      <c r="E57" s="10"/>
      <c r="F57" s="10"/>
      <c r="G57" s="10"/>
      <c r="H57" s="10"/>
      <c r="I57" s="10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3:25" x14ac:dyDescent="0.3">
      <c r="C58" s="4"/>
      <c r="D58" s="8"/>
      <c r="E58" s="10"/>
      <c r="F58" s="10"/>
      <c r="G58" s="10"/>
      <c r="H58" s="10"/>
      <c r="I58" s="10"/>
      <c r="J58" s="10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3:25" x14ac:dyDescent="0.3">
      <c r="C59" s="4"/>
      <c r="D59" s="8"/>
      <c r="E59" s="10"/>
      <c r="F59" s="10"/>
      <c r="G59" s="10"/>
      <c r="H59" s="10"/>
      <c r="I59" s="10"/>
      <c r="J59" s="10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3:25" x14ac:dyDescent="0.3">
      <c r="C60" s="4"/>
      <c r="D60" s="8"/>
      <c r="E60" s="10"/>
      <c r="F60" s="10"/>
      <c r="G60" s="10"/>
      <c r="H60" s="10"/>
      <c r="I60" s="10"/>
      <c r="J60" s="10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3:25" x14ac:dyDescent="0.3">
      <c r="C61" s="4"/>
      <c r="D61" s="8"/>
      <c r="E61" s="10"/>
      <c r="F61" s="10"/>
      <c r="G61" s="10"/>
      <c r="H61" s="10"/>
      <c r="I61" s="10"/>
      <c r="J61" s="10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3:25" x14ac:dyDescent="0.3">
      <c r="J62" s="10"/>
    </row>
    <row r="63" spans="3:25" x14ac:dyDescent="0.3">
      <c r="J63" s="10"/>
    </row>
    <row r="64" spans="3:25" x14ac:dyDescent="0.3">
      <c r="J64" s="10"/>
      <c r="X64" s="11"/>
      <c r="Y64" s="11"/>
    </row>
    <row r="65" spans="24:25" x14ac:dyDescent="0.3">
      <c r="X65" s="11"/>
      <c r="Y65" s="11"/>
    </row>
    <row r="66" spans="24:25" x14ac:dyDescent="0.3">
      <c r="X66" s="11"/>
      <c r="Y66" s="11"/>
    </row>
    <row r="67" spans="24:25" x14ac:dyDescent="0.3">
      <c r="X67" s="11"/>
      <c r="Y67" s="11"/>
    </row>
    <row r="68" spans="24:25" x14ac:dyDescent="0.3">
      <c r="X68" s="11"/>
      <c r="Y68" s="11"/>
    </row>
    <row r="69" spans="24:25" x14ac:dyDescent="0.3">
      <c r="X69" s="11"/>
      <c r="Y69" s="11"/>
    </row>
    <row r="70" spans="24:25" x14ac:dyDescent="0.3">
      <c r="X70" s="11"/>
      <c r="Y70" s="11"/>
    </row>
    <row r="71" spans="24:25" x14ac:dyDescent="0.3">
      <c r="X71" s="11"/>
      <c r="Y71" s="11"/>
    </row>
    <row r="72" spans="24:25" x14ac:dyDescent="0.3">
      <c r="X72" s="11"/>
      <c r="Y72" s="11"/>
    </row>
    <row r="73" spans="24:25" x14ac:dyDescent="0.3">
      <c r="X73" s="11"/>
      <c r="Y73" s="11"/>
    </row>
  </sheetData>
  <mergeCells count="5">
    <mergeCell ref="C3:I3"/>
    <mergeCell ref="C16:I16"/>
    <mergeCell ref="L3:R3"/>
    <mergeCell ref="L16:R16"/>
    <mergeCell ref="C29:G29"/>
  </mergeCells>
  <conditionalFormatting sqref="C31:G39">
    <cfRule type="colorScale" priority="4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C5:I13">
    <cfRule type="colorScale" priority="29">
      <colorScale>
        <cfvo type="num" val="0"/>
        <cfvo type="percentile" val="50"/>
        <cfvo type="max"/>
        <color rgb="FFFF4343"/>
        <color rgb="FFFFEB84"/>
        <color theme="9"/>
      </colorScale>
    </cfRule>
  </conditionalFormatting>
  <conditionalFormatting sqref="C18:I26">
    <cfRule type="colorScale" priority="27">
      <colorScale>
        <cfvo type="num" val="0"/>
        <cfvo type="percentile" val="50"/>
        <cfvo type="max"/>
        <color rgb="FFFF4343"/>
        <color rgb="FFFFEB84"/>
        <color theme="9"/>
      </colorScale>
    </cfRule>
  </conditionalFormatting>
  <conditionalFormatting sqref="K46:K52 J58:J64 C55:I61">
    <cfRule type="colorScale" priority="237">
      <colorScale>
        <cfvo type="min"/>
        <cfvo type="percentile" val="50"/>
        <cfvo type="max"/>
        <color rgb="FFFF0000"/>
        <color rgb="FFFFEB84"/>
        <color rgb="FF00BC55"/>
      </colorScale>
    </cfRule>
  </conditionalFormatting>
  <conditionalFormatting sqref="L5:R13">
    <cfRule type="colorScale" priority="17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10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N52:W61 X64:Y73">
    <cfRule type="colorScale" priority="42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X14:Y15">
    <cfRule type="colorScale" priority="232">
      <colorScale>
        <cfvo type="min"/>
        <cfvo type="percentile" val="50"/>
        <cfvo type="max"/>
        <color rgb="FF00BC55"/>
        <color rgb="FFFFEB84"/>
        <color rgb="FFEB2B0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A3C35-6B9B-4648-82C5-42A3EF962551}">
  <dimension ref="B2:R39"/>
  <sheetViews>
    <sheetView zoomScale="47" workbookViewId="0">
      <selection activeCell="J36" sqref="J36"/>
    </sheetView>
  </sheetViews>
  <sheetFormatPr defaultRowHeight="14.4" x14ac:dyDescent="0.3"/>
  <cols>
    <col min="2" max="2" width="41.33203125" customWidth="1"/>
    <col min="3" max="3" width="21.77734375" customWidth="1"/>
    <col min="4" max="4" width="17.5546875" customWidth="1"/>
    <col min="5" max="5" width="26.77734375" customWidth="1"/>
    <col min="6" max="6" width="20.88671875" customWidth="1"/>
    <col min="7" max="7" width="22" customWidth="1"/>
    <col min="8" max="8" width="21.5546875" customWidth="1"/>
    <col min="9" max="9" width="23" customWidth="1"/>
    <col min="10" max="10" width="17.77734375" customWidth="1"/>
    <col min="11" max="11" width="40.88671875" customWidth="1"/>
    <col min="12" max="12" width="20.88671875" customWidth="1"/>
    <col min="13" max="13" width="23.44140625" customWidth="1"/>
    <col min="14" max="14" width="25.88671875" customWidth="1"/>
    <col min="15" max="15" width="19.21875" customWidth="1"/>
    <col min="16" max="16" width="15.33203125" customWidth="1"/>
    <col min="17" max="17" width="13.88671875" customWidth="1"/>
    <col min="18" max="18" width="15.21875" customWidth="1"/>
  </cols>
  <sheetData>
    <row r="2" spans="2:18" x14ac:dyDescent="0.3">
      <c r="L2" t="s">
        <v>70</v>
      </c>
    </row>
    <row r="3" spans="2:18" x14ac:dyDescent="0.3">
      <c r="C3" s="32" t="s">
        <v>34</v>
      </c>
      <c r="D3" s="32"/>
      <c r="E3" s="32"/>
      <c r="F3" s="32"/>
      <c r="G3" s="32"/>
      <c r="H3" s="32"/>
      <c r="I3" s="32"/>
      <c r="L3" s="16" t="s">
        <v>33</v>
      </c>
      <c r="M3" s="16"/>
      <c r="N3" s="16"/>
      <c r="O3" s="16"/>
      <c r="P3" s="16"/>
      <c r="Q3" s="16"/>
      <c r="R3" s="16"/>
    </row>
    <row r="4" spans="2:18" ht="40.200000000000003" customHeight="1" x14ac:dyDescent="0.3">
      <c r="B4" s="6" t="s">
        <v>7</v>
      </c>
      <c r="C4" s="2" t="s">
        <v>0</v>
      </c>
      <c r="D4" s="2" t="s">
        <v>19</v>
      </c>
      <c r="E4" s="1" t="s">
        <v>1</v>
      </c>
      <c r="F4" s="7" t="s">
        <v>2</v>
      </c>
      <c r="G4" s="7" t="s">
        <v>3</v>
      </c>
      <c r="H4" s="2" t="s">
        <v>4</v>
      </c>
      <c r="I4" s="2" t="s">
        <v>5</v>
      </c>
      <c r="K4" s="6" t="s">
        <v>7</v>
      </c>
      <c r="L4" s="12" t="s">
        <v>22</v>
      </c>
      <c r="M4" s="12" t="s">
        <v>25</v>
      </c>
      <c r="N4" s="1" t="s">
        <v>1</v>
      </c>
      <c r="O4" s="7" t="s">
        <v>2</v>
      </c>
      <c r="P4" s="7" t="s">
        <v>3</v>
      </c>
      <c r="Q4" s="2" t="s">
        <v>4</v>
      </c>
      <c r="R4" s="2" t="s">
        <v>5</v>
      </c>
    </row>
    <row r="5" spans="2:18" x14ac:dyDescent="0.3">
      <c r="B5" t="s">
        <v>8</v>
      </c>
      <c r="C5" s="4">
        <v>0</v>
      </c>
      <c r="D5" s="8">
        <v>0.23150000000000001</v>
      </c>
      <c r="E5" s="10">
        <v>9.7735876895678198E-3</v>
      </c>
      <c r="F5" s="10">
        <v>0.10499166554459394</v>
      </c>
      <c r="G5" s="10">
        <v>0.10263203402558541</v>
      </c>
      <c r="H5" s="10">
        <v>0.13617323743662491</v>
      </c>
      <c r="I5" s="10">
        <v>0.10499166554459394</v>
      </c>
      <c r="K5" t="s">
        <v>8</v>
      </c>
      <c r="L5" s="11">
        <v>0.29786000000000001</v>
      </c>
      <c r="M5" s="11">
        <v>0.22900000000000001</v>
      </c>
      <c r="N5" s="11">
        <v>0.29494883917078535</v>
      </c>
      <c r="O5" s="11">
        <v>0.26658718250088725</v>
      </c>
      <c r="P5" s="11">
        <v>0.26729002234513916</v>
      </c>
      <c r="Q5" s="11">
        <v>0.25729943949712691</v>
      </c>
      <c r="R5" s="11">
        <v>0.26658718250088725</v>
      </c>
    </row>
    <row r="6" spans="2:18" x14ac:dyDescent="0.3">
      <c r="B6" t="s">
        <v>9</v>
      </c>
      <c r="C6" s="4">
        <v>0</v>
      </c>
      <c r="D6" s="8">
        <v>0.2276</v>
      </c>
      <c r="E6" s="10">
        <v>6.5453655911148489E-3</v>
      </c>
      <c r="F6" s="10">
        <v>0.12953167448829106</v>
      </c>
      <c r="G6" s="10">
        <v>1.1221116599917424E-2</v>
      </c>
      <c r="H6" s="10">
        <v>0.15801905359876189</v>
      </c>
      <c r="I6" s="10">
        <v>0.10785443350703761</v>
      </c>
      <c r="K6" t="s">
        <v>9</v>
      </c>
      <c r="L6" s="11">
        <v>0.29786000000000001</v>
      </c>
      <c r="M6" s="11">
        <v>0.23</v>
      </c>
      <c r="N6" s="11">
        <v>0.29591039740503056</v>
      </c>
      <c r="O6" s="11">
        <v>0.25927769543691764</v>
      </c>
      <c r="P6" s="11">
        <v>0.29451767820954861</v>
      </c>
      <c r="Q6" s="11">
        <v>0.25079244469507278</v>
      </c>
      <c r="R6" s="11">
        <v>0.26573447843559378</v>
      </c>
    </row>
    <row r="7" spans="2:18" ht="19.2" customHeight="1" x14ac:dyDescent="0.3">
      <c r="B7" t="s">
        <v>10</v>
      </c>
      <c r="C7" s="4">
        <v>0</v>
      </c>
      <c r="D7" s="8">
        <v>0.22322</v>
      </c>
      <c r="E7" s="10">
        <v>4.245324878962653E-2</v>
      </c>
      <c r="F7" s="10">
        <v>0.11681455017044828</v>
      </c>
      <c r="G7" s="10">
        <v>0.11731595328215594</v>
      </c>
      <c r="H7" s="10">
        <v>0.12924320920368093</v>
      </c>
      <c r="I7" s="10">
        <v>0.13462491077397365</v>
      </c>
      <c r="K7" t="s">
        <v>10</v>
      </c>
      <c r="L7" s="11">
        <v>0.29786000000000001</v>
      </c>
      <c r="M7" s="11">
        <v>0.23136999999999999</v>
      </c>
      <c r="N7" s="11">
        <v>0.28521487531552187</v>
      </c>
      <c r="O7" s="11">
        <v>0.2630656180862303</v>
      </c>
      <c r="P7" s="11">
        <v>0.26291627015537705</v>
      </c>
      <c r="Q7" s="11">
        <v>0.25936361770659161</v>
      </c>
      <c r="R7" s="11">
        <v>0.25776062407686423</v>
      </c>
    </row>
    <row r="8" spans="2:18" x14ac:dyDescent="0.3">
      <c r="B8" s="5" t="s">
        <v>11</v>
      </c>
      <c r="C8" s="4">
        <v>0</v>
      </c>
      <c r="D8" s="8">
        <v>0.23150000000000001</v>
      </c>
      <c r="E8" s="10">
        <v>1.4150708603216544E-2</v>
      </c>
      <c r="F8" s="10">
        <v>0.10499166554459394</v>
      </c>
      <c r="G8" s="10">
        <v>0.14606089638707953</v>
      </c>
      <c r="H8" s="10">
        <v>0.12215743932370327</v>
      </c>
      <c r="I8" s="10">
        <v>0.1288397087334896</v>
      </c>
      <c r="K8" s="5" t="s">
        <v>11</v>
      </c>
      <c r="L8" s="11">
        <v>0.29786000000000001</v>
      </c>
      <c r="M8" s="11">
        <v>0.22900000000000001</v>
      </c>
      <c r="N8" s="11">
        <v>0.29364506993544592</v>
      </c>
      <c r="O8" s="11">
        <v>0.26658718250088725</v>
      </c>
      <c r="P8" s="11">
        <v>0.25435430140214449</v>
      </c>
      <c r="Q8" s="11">
        <v>0.26147418512304177</v>
      </c>
      <c r="R8" s="11">
        <v>0.25948380435664281</v>
      </c>
    </row>
    <row r="9" spans="2:18" x14ac:dyDescent="0.3">
      <c r="B9" t="s">
        <v>16</v>
      </c>
      <c r="C9" s="4">
        <v>0</v>
      </c>
      <c r="D9" s="8">
        <v>0.2276</v>
      </c>
      <c r="E9" s="10">
        <v>5.4146831006718465E-2</v>
      </c>
      <c r="F9" s="10">
        <v>0.13162995144474854</v>
      </c>
      <c r="G9" s="10">
        <v>6.781240198241778E-3</v>
      </c>
      <c r="H9" s="10">
        <v>0.15441341189592439</v>
      </c>
      <c r="I9" s="10">
        <v>6.781240198241778E-3</v>
      </c>
      <c r="K9" t="s">
        <v>16</v>
      </c>
      <c r="L9" s="11">
        <v>0.29786000000000001</v>
      </c>
      <c r="M9" s="11">
        <v>0.23</v>
      </c>
      <c r="N9" s="11">
        <v>0.28173182491633886</v>
      </c>
      <c r="O9" s="11">
        <v>0.25865270266266721</v>
      </c>
      <c r="P9" s="11">
        <v>0.2958401397945517</v>
      </c>
      <c r="Q9" s="11">
        <v>0.25186642113267999</v>
      </c>
      <c r="R9" s="11">
        <v>0.2958401397945517</v>
      </c>
    </row>
    <row r="10" spans="2:18" x14ac:dyDescent="0.3">
      <c r="B10" t="s">
        <v>15</v>
      </c>
      <c r="C10" s="4">
        <v>0</v>
      </c>
      <c r="D10" s="8">
        <v>0.22322</v>
      </c>
      <c r="E10" s="10">
        <v>3.362894516678816E-3</v>
      </c>
      <c r="F10" s="10">
        <v>0.15638177096322425</v>
      </c>
      <c r="G10" s="10">
        <v>5.6856222540464518E-3</v>
      </c>
      <c r="H10" s="10">
        <v>0.12417815321405601</v>
      </c>
      <c r="I10" s="10">
        <v>0.1093182516080432</v>
      </c>
      <c r="K10" t="s">
        <v>15</v>
      </c>
      <c r="L10" s="11">
        <v>0.29786000000000001</v>
      </c>
      <c r="M10" s="11">
        <v>0.23136999999999999</v>
      </c>
      <c r="N10" s="11">
        <v>0.29685832823926206</v>
      </c>
      <c r="O10" s="11">
        <v>0.25128012570089403</v>
      </c>
      <c r="P10" s="11">
        <v>0.29616648055540973</v>
      </c>
      <c r="Q10" s="11">
        <v>0.26087229528366129</v>
      </c>
      <c r="R10" s="11">
        <v>0.26529846557602826</v>
      </c>
    </row>
    <row r="11" spans="2:18" x14ac:dyDescent="0.3">
      <c r="B11" t="s">
        <v>12</v>
      </c>
      <c r="C11" s="4">
        <v>0</v>
      </c>
      <c r="D11" s="8">
        <v>0.32350000000000001</v>
      </c>
      <c r="E11" s="10">
        <v>0.15856623352176424</v>
      </c>
      <c r="F11" s="10">
        <v>8.8900433713038018E-2</v>
      </c>
      <c r="G11" s="10">
        <v>0.1221092293669036</v>
      </c>
      <c r="H11" s="10">
        <v>0.17259005830273477</v>
      </c>
      <c r="I11" s="10">
        <v>0.17783602450739378</v>
      </c>
      <c r="K11" t="s">
        <v>12</v>
      </c>
      <c r="L11" s="11">
        <v>0.29786000000000001</v>
      </c>
      <c r="M11" s="11">
        <v>0.20150000000000001</v>
      </c>
      <c r="N11" s="11">
        <v>0.28671798875750576</v>
      </c>
      <c r="O11" s="11">
        <v>0.24826277880675796</v>
      </c>
      <c r="P11" s="11">
        <v>0.24812585552121399</v>
      </c>
      <c r="Q11" s="11">
        <v>0.24645232523394742</v>
      </c>
      <c r="R11" s="11">
        <v>0.2448897617402277</v>
      </c>
    </row>
    <row r="12" spans="2:18" x14ac:dyDescent="0.3">
      <c r="B12" t="s">
        <v>13</v>
      </c>
      <c r="C12" s="4">
        <v>0</v>
      </c>
      <c r="D12" s="8">
        <v>0.31490000000000001</v>
      </c>
      <c r="E12" s="10">
        <v>0.17170291212997946</v>
      </c>
      <c r="F12" s="10">
        <v>0.19454690084876858</v>
      </c>
      <c r="G12" s="10">
        <v>0.17006558226951463</v>
      </c>
      <c r="H12" s="10">
        <v>0.13073453470490559</v>
      </c>
      <c r="I12" s="10">
        <v>0.11727398080561557</v>
      </c>
      <c r="K12" t="s">
        <v>13</v>
      </c>
      <c r="L12" s="11">
        <v>0.29786000000000001</v>
      </c>
      <c r="M12" s="11">
        <v>0.20405999999999999</v>
      </c>
      <c r="N12" s="11">
        <v>0.25062946168320732</v>
      </c>
      <c r="O12" s="11">
        <v>0.27138011681423452</v>
      </c>
      <c r="P12" s="11">
        <v>0.26148854494077411</v>
      </c>
      <c r="Q12" s="11">
        <v>0.25891941149279685</v>
      </c>
      <c r="R12" s="11">
        <v>0.26292877207723936</v>
      </c>
    </row>
    <row r="13" spans="2:18" x14ac:dyDescent="0.3">
      <c r="B13" t="s">
        <v>17</v>
      </c>
      <c r="C13" s="4">
        <v>0</v>
      </c>
      <c r="D13" s="8">
        <v>0.3019</v>
      </c>
      <c r="E13" s="10">
        <v>0.15030015138988906</v>
      </c>
      <c r="F13" s="10">
        <v>0.13683752299865948</v>
      </c>
      <c r="G13" s="10">
        <v>0.18191368883425563</v>
      </c>
      <c r="H13" s="10">
        <v>0.24597716408716097</v>
      </c>
      <c r="I13" s="10">
        <v>0.21469318164504869</v>
      </c>
      <c r="K13" t="s">
        <v>17</v>
      </c>
      <c r="L13" s="11">
        <v>0.29786000000000001</v>
      </c>
      <c r="M13" s="11">
        <v>0.20795</v>
      </c>
      <c r="N13" s="11">
        <v>0.24671657059296434</v>
      </c>
      <c r="O13" s="11">
        <v>0.23991226011318581</v>
      </c>
      <c r="P13" s="11">
        <v>0.2472042656652024</v>
      </c>
      <c r="Q13" s="11">
        <v>0.22459324190499824</v>
      </c>
      <c r="R13" s="11">
        <v>0.2339114889152058</v>
      </c>
    </row>
    <row r="15" spans="2:18" x14ac:dyDescent="0.3">
      <c r="L15" t="s">
        <v>72</v>
      </c>
    </row>
    <row r="16" spans="2:18" x14ac:dyDescent="0.3">
      <c r="C16" s="32" t="s">
        <v>35</v>
      </c>
      <c r="D16" s="32"/>
      <c r="E16" s="32"/>
      <c r="F16" s="32"/>
      <c r="G16" s="32"/>
      <c r="H16" s="32"/>
      <c r="I16" s="32"/>
      <c r="L16" s="16" t="s">
        <v>26</v>
      </c>
      <c r="M16" s="16"/>
      <c r="N16" s="16"/>
      <c r="O16" s="16"/>
      <c r="P16" s="16"/>
      <c r="Q16" s="16"/>
      <c r="R16" s="16"/>
    </row>
    <row r="17" spans="2:18" ht="43.8" customHeight="1" x14ac:dyDescent="0.3">
      <c r="B17" s="6" t="s">
        <v>7</v>
      </c>
      <c r="C17" s="2" t="s">
        <v>0</v>
      </c>
      <c r="D17" s="2" t="s">
        <v>19</v>
      </c>
      <c r="E17" s="1" t="s">
        <v>1</v>
      </c>
      <c r="F17" s="7" t="s">
        <v>2</v>
      </c>
      <c r="G17" s="7" t="s">
        <v>3</v>
      </c>
      <c r="H17" s="2" t="s">
        <v>4</v>
      </c>
      <c r="I17" s="2" t="s">
        <v>5</v>
      </c>
      <c r="K17" s="6" t="s">
        <v>7</v>
      </c>
      <c r="L17" s="12" t="s">
        <v>22</v>
      </c>
      <c r="M17" s="12" t="s">
        <v>25</v>
      </c>
      <c r="N17" s="1" t="s">
        <v>1</v>
      </c>
      <c r="O17" s="7" t="s">
        <v>2</v>
      </c>
      <c r="P17" s="7" t="s">
        <v>3</v>
      </c>
      <c r="Q17" s="2" t="s">
        <v>4</v>
      </c>
      <c r="R17" s="2" t="s">
        <v>5</v>
      </c>
    </row>
    <row r="18" spans="2:18" x14ac:dyDescent="0.3">
      <c r="B18" t="s">
        <v>8</v>
      </c>
      <c r="C18" s="4">
        <v>0</v>
      </c>
      <c r="D18" s="8">
        <v>0.20835999999999999</v>
      </c>
      <c r="E18" s="10">
        <v>4.0122922620153822E-3</v>
      </c>
      <c r="F18" s="10">
        <v>4.7425893623172177E-2</v>
      </c>
      <c r="G18" s="10">
        <v>5.4528403494483291E-2</v>
      </c>
      <c r="H18" s="10">
        <v>8.3246720025159426E-2</v>
      </c>
      <c r="I18" s="10">
        <v>4.7425893623172177E-2</v>
      </c>
      <c r="K18" t="s">
        <v>8</v>
      </c>
      <c r="L18" s="11">
        <v>0.46212999999999999</v>
      </c>
      <c r="M18" s="11">
        <v>0.36503999999999998</v>
      </c>
      <c r="N18" s="11">
        <v>0.46027579937695484</v>
      </c>
      <c r="O18" s="11">
        <v>0.44021307177992341</v>
      </c>
      <c r="P18" s="11">
        <v>0.43693078889309445</v>
      </c>
      <c r="Q18" s="11">
        <v>0.42365919327477308</v>
      </c>
      <c r="R18" s="11">
        <v>0.44021307177992341</v>
      </c>
    </row>
    <row r="19" spans="2:18" x14ac:dyDescent="0.3">
      <c r="B19" t="s">
        <v>9</v>
      </c>
      <c r="C19" s="4">
        <v>0</v>
      </c>
      <c r="D19" s="8">
        <v>0.19700000000000001</v>
      </c>
      <c r="E19" s="10">
        <v>1.2215546111521203E-2</v>
      </c>
      <c r="F19" s="10">
        <v>8.285744742850798E-2</v>
      </c>
      <c r="G19" s="10">
        <v>8.2936524272669843E-4</v>
      </c>
      <c r="H19" s="10">
        <v>9.2392645071264767E-2</v>
      </c>
      <c r="I19" s="10">
        <v>4.4716636573235546E-2</v>
      </c>
      <c r="K19" t="s">
        <v>9</v>
      </c>
      <c r="L19" s="11">
        <v>0.46212999999999999</v>
      </c>
      <c r="M19" s="11">
        <v>0.37108999999999998</v>
      </c>
      <c r="N19" s="11">
        <v>0.45648482967548271</v>
      </c>
      <c r="O19" s="11">
        <v>0.42383908781986357</v>
      </c>
      <c r="P19" s="11">
        <v>0.4617467254403787</v>
      </c>
      <c r="Q19" s="11">
        <v>0.41943258693321639</v>
      </c>
      <c r="R19" s="11">
        <v>0.44146510074041062</v>
      </c>
    </row>
    <row r="20" spans="2:18" x14ac:dyDescent="0.3">
      <c r="B20" t="s">
        <v>10</v>
      </c>
      <c r="C20" s="4">
        <v>0</v>
      </c>
      <c r="D20" s="8">
        <v>0.18776000000000001</v>
      </c>
      <c r="E20" s="10">
        <v>2.2039024819030417E-2</v>
      </c>
      <c r="F20" s="10">
        <v>8.1204533088705455E-2</v>
      </c>
      <c r="G20" s="10">
        <v>8.0080276222535884E-2</v>
      </c>
      <c r="H20" s="10">
        <v>7.4900417636977967E-2</v>
      </c>
      <c r="I20" s="10">
        <v>8.2668545201468713E-2</v>
      </c>
      <c r="K20" t="s">
        <v>10</v>
      </c>
      <c r="L20" s="11">
        <v>0.46212999999999999</v>
      </c>
      <c r="M20" s="11">
        <v>0.36536000000000002</v>
      </c>
      <c r="N20" s="11">
        <v>0.45194510546038147</v>
      </c>
      <c r="O20" s="11">
        <v>0.42460294912371654</v>
      </c>
      <c r="P20" s="11">
        <v>0.42512250194927947</v>
      </c>
      <c r="Q20" s="11">
        <v>0.42751626999742337</v>
      </c>
      <c r="R20" s="11">
        <v>0.42392638520604525</v>
      </c>
    </row>
    <row r="21" spans="2:18" x14ac:dyDescent="0.3">
      <c r="B21" s="5" t="s">
        <v>11</v>
      </c>
      <c r="C21" s="4">
        <v>0</v>
      </c>
      <c r="D21" s="8">
        <v>0.20835999999999999</v>
      </c>
      <c r="E21" s="10">
        <v>1.3765251355659647E-3</v>
      </c>
      <c r="F21" s="10">
        <v>4.7425893623172177E-2</v>
      </c>
      <c r="G21" s="10">
        <v>7.9574896906734138E-2</v>
      </c>
      <c r="H21" s="10">
        <v>7.7211499475254741E-2</v>
      </c>
      <c r="I21" s="10">
        <v>6.3465985882607434E-2</v>
      </c>
      <c r="K21" s="5" t="s">
        <v>11</v>
      </c>
      <c r="L21" s="11">
        <v>0.46212999999999999</v>
      </c>
      <c r="M21" s="11">
        <v>0.36503999999999998</v>
      </c>
      <c r="N21" s="11">
        <v>0.4614938664391009</v>
      </c>
      <c r="O21" s="11">
        <v>0.44021307177992341</v>
      </c>
      <c r="P21" s="11">
        <v>0.42535605289249095</v>
      </c>
      <c r="Q21" s="11">
        <v>0.42644824974750051</v>
      </c>
      <c r="R21" s="11">
        <v>0.43280046394407062</v>
      </c>
    </row>
    <row r="22" spans="2:18" x14ac:dyDescent="0.3">
      <c r="B22" t="s">
        <v>16</v>
      </c>
      <c r="C22" s="4">
        <v>0</v>
      </c>
      <c r="D22" s="8">
        <v>0.19700000000000001</v>
      </c>
      <c r="E22" s="10">
        <v>1.5840568548802225E-2</v>
      </c>
      <c r="F22" s="10">
        <v>3.7935225900765701E-2</v>
      </c>
      <c r="G22" s="10">
        <v>9.8486267717246001E-5</v>
      </c>
      <c r="H22" s="10">
        <v>9.6110515581409151E-2</v>
      </c>
      <c r="I22" s="10">
        <v>9.8486267717246001E-5</v>
      </c>
      <c r="K22" t="s">
        <v>16</v>
      </c>
      <c r="L22" s="11">
        <v>0.46212999999999999</v>
      </c>
      <c r="M22" s="11">
        <v>0.37108999999999998</v>
      </c>
      <c r="N22" s="11">
        <v>0.45480959805654203</v>
      </c>
      <c r="O22" s="11">
        <v>0.44459899405447911</v>
      </c>
      <c r="P22" s="11">
        <v>0.46208448654109979</v>
      </c>
      <c r="Q22" s="11">
        <v>0.41771444743436337</v>
      </c>
      <c r="R22" s="11">
        <v>0.46208448654109979</v>
      </c>
    </row>
    <row r="23" spans="2:18" x14ac:dyDescent="0.3">
      <c r="B23" t="s">
        <v>15</v>
      </c>
      <c r="C23" s="4">
        <v>0</v>
      </c>
      <c r="D23" s="8">
        <v>0.18776000000000001</v>
      </c>
      <c r="E23" s="10">
        <v>7.6871948539192214E-4</v>
      </c>
      <c r="F23" s="10">
        <v>0.12368410983023603</v>
      </c>
      <c r="G23" s="10">
        <v>7.8044295627892613E-3</v>
      </c>
      <c r="H23" s="10">
        <v>6.2357215624707862E-2</v>
      </c>
      <c r="I23" s="10">
        <v>9.2750879600636438E-2</v>
      </c>
      <c r="K23" t="s">
        <v>15</v>
      </c>
      <c r="L23" s="11">
        <v>0.46212999999999999</v>
      </c>
      <c r="M23" s="11">
        <v>0.36536000000000002</v>
      </c>
      <c r="N23" s="11">
        <v>0.46177475166421583</v>
      </c>
      <c r="O23" s="11">
        <v>0.404971862324153</v>
      </c>
      <c r="P23" s="11">
        <v>0.45852333896614816</v>
      </c>
      <c r="Q23" s="11">
        <v>0.43331285994335372</v>
      </c>
      <c r="R23" s="11">
        <v>0.41926703601015786</v>
      </c>
    </row>
    <row r="24" spans="2:18" x14ac:dyDescent="0.3">
      <c r="B24" t="s">
        <v>12</v>
      </c>
      <c r="C24" s="4">
        <v>0</v>
      </c>
      <c r="D24" s="8">
        <v>0.27810000000000001</v>
      </c>
      <c r="E24" s="10">
        <v>1.3603596823290376E-2</v>
      </c>
      <c r="F24" s="10">
        <v>9.3132898573652922E-2</v>
      </c>
      <c r="G24" s="10">
        <v>9.290956512078663E-2</v>
      </c>
      <c r="H24" s="10">
        <v>9.4413320219054686E-2</v>
      </c>
      <c r="I24" s="10">
        <v>9.6384376138072381E-2</v>
      </c>
      <c r="K24" t="s">
        <v>12</v>
      </c>
      <c r="L24" s="11">
        <v>0.46212999999999999</v>
      </c>
      <c r="M24" s="11">
        <v>0.33360000000000001</v>
      </c>
      <c r="N24" s="11">
        <v>0.4558433698000528</v>
      </c>
      <c r="O24" s="11">
        <v>0.41909049358215777</v>
      </c>
      <c r="P24" s="11">
        <v>0.41919370267073086</v>
      </c>
      <c r="Q24" s="11">
        <v>0.41849877232716826</v>
      </c>
      <c r="R24" s="11">
        <v>0.41758788825531262</v>
      </c>
    </row>
    <row r="25" spans="2:18" x14ac:dyDescent="0.3">
      <c r="B25" t="s">
        <v>13</v>
      </c>
      <c r="C25" s="4">
        <v>0</v>
      </c>
      <c r="D25" s="8">
        <v>0.26579999999999998</v>
      </c>
      <c r="E25" s="10">
        <v>0.11096516719174987</v>
      </c>
      <c r="F25" s="10">
        <v>4.3128283752432828E-2</v>
      </c>
      <c r="G25" s="10">
        <v>7.5913794022800407E-2</v>
      </c>
      <c r="H25" s="10">
        <v>7.6866828499007722E-2</v>
      </c>
      <c r="I25" s="10">
        <v>7.5356850890003213E-2</v>
      </c>
      <c r="K25" t="s">
        <v>13</v>
      </c>
      <c r="L25" s="11">
        <v>0.46212999999999999</v>
      </c>
      <c r="M25" s="11">
        <v>0.33928000000000003</v>
      </c>
      <c r="N25" s="11">
        <v>0.41084966728567662</v>
      </c>
      <c r="O25" s="11">
        <v>0.4421991262294882</v>
      </c>
      <c r="P25" s="11">
        <v>0.42704795836824322</v>
      </c>
      <c r="Q25" s="11">
        <v>0.42660753254575356</v>
      </c>
      <c r="R25" s="11">
        <v>0.42730533849820279</v>
      </c>
    </row>
    <row r="26" spans="2:18" x14ac:dyDescent="0.3">
      <c r="B26" t="s">
        <v>17</v>
      </c>
      <c r="C26" s="4">
        <v>0</v>
      </c>
      <c r="D26" s="8">
        <v>0.254</v>
      </c>
      <c r="E26" s="10">
        <v>0.14167329689088093</v>
      </c>
      <c r="F26" s="10">
        <v>0.15285785184151623</v>
      </c>
      <c r="G26" s="10">
        <v>0.1310002697353172</v>
      </c>
      <c r="H26" s="10">
        <v>0.19106363152108807</v>
      </c>
      <c r="I26" s="10">
        <v>0.19894988697988003</v>
      </c>
      <c r="K26" t="s">
        <v>17</v>
      </c>
      <c r="L26" s="11">
        <v>0.46212999999999999</v>
      </c>
      <c r="M26" s="11">
        <v>0.34478999999999999</v>
      </c>
      <c r="N26" s="11">
        <v>0.3966585193078172</v>
      </c>
      <c r="O26" s="11">
        <v>0.39148980092848007</v>
      </c>
      <c r="P26" s="11">
        <v>0.40159084534721784</v>
      </c>
      <c r="Q26" s="11">
        <v>0.37383376396515955</v>
      </c>
      <c r="R26" s="11">
        <v>0.37018928872998802</v>
      </c>
    </row>
    <row r="29" spans="2:18" x14ac:dyDescent="0.3">
      <c r="C29" s="32" t="s">
        <v>117</v>
      </c>
      <c r="D29" s="32"/>
      <c r="E29" s="32"/>
      <c r="F29" s="32"/>
      <c r="G29" s="32"/>
    </row>
    <row r="30" spans="2:18" ht="28.8" x14ac:dyDescent="0.3">
      <c r="B30" s="6" t="s">
        <v>7</v>
      </c>
      <c r="C30" s="1" t="s">
        <v>1</v>
      </c>
      <c r="D30" s="7" t="s">
        <v>2</v>
      </c>
      <c r="E30" s="7" t="s">
        <v>3</v>
      </c>
      <c r="F30" s="2" t="s">
        <v>4</v>
      </c>
      <c r="G30" s="2" t="s">
        <v>5</v>
      </c>
    </row>
    <row r="31" spans="2:18" x14ac:dyDescent="0.3">
      <c r="B31" t="s">
        <v>8</v>
      </c>
      <c r="C31" s="11">
        <v>0.308527915978351</v>
      </c>
      <c r="D31" s="11">
        <v>0.41145326588805753</v>
      </c>
      <c r="E31" s="11">
        <v>0.25130989157553657</v>
      </c>
      <c r="F31" s="11">
        <v>0.39769823267973731</v>
      </c>
      <c r="G31" s="11">
        <v>0.33042087808720638</v>
      </c>
    </row>
    <row r="32" spans="2:18" x14ac:dyDescent="0.3">
      <c r="B32" t="s">
        <v>9</v>
      </c>
      <c r="C32" s="11">
        <v>0.33972223523318418</v>
      </c>
      <c r="D32" s="11">
        <v>0.27662884655174985</v>
      </c>
      <c r="E32" s="11">
        <v>0.37825715352879991</v>
      </c>
      <c r="F32" s="11">
        <v>0.28079971690006567</v>
      </c>
      <c r="G32" s="11">
        <v>0.49133628120117978</v>
      </c>
    </row>
    <row r="33" spans="2:7" x14ac:dyDescent="0.3">
      <c r="B33" t="s">
        <v>10</v>
      </c>
      <c r="C33" s="11">
        <v>0.41270690203130128</v>
      </c>
      <c r="D33" s="11">
        <v>0.32148728246888181</v>
      </c>
      <c r="E33" s="11">
        <v>0.20290379969082661</v>
      </c>
      <c r="F33" s="11">
        <v>0.26437588012279045</v>
      </c>
      <c r="G33" s="11">
        <v>0.39859195151217769</v>
      </c>
    </row>
    <row r="34" spans="2:7" x14ac:dyDescent="0.3">
      <c r="B34" s="5" t="s">
        <v>11</v>
      </c>
      <c r="C34" s="11">
        <v>0.22820233479265109</v>
      </c>
      <c r="D34" s="11">
        <v>0.3950815922985092</v>
      </c>
      <c r="E34" s="11">
        <v>0.2882648764674362</v>
      </c>
      <c r="F34" s="11">
        <v>0.31413411572180966</v>
      </c>
      <c r="G34" s="11">
        <v>0.32778043692208836</v>
      </c>
    </row>
    <row r="35" spans="2:7" x14ac:dyDescent="0.3">
      <c r="B35" t="s">
        <v>16</v>
      </c>
      <c r="C35" s="11">
        <v>0.3704643941741384</v>
      </c>
      <c r="D35" s="11">
        <v>0.25307942260490252</v>
      </c>
      <c r="E35" s="11">
        <v>0.41004339561044056</v>
      </c>
      <c r="F35" s="11">
        <v>0.35465792488055803</v>
      </c>
      <c r="G35" s="11">
        <v>0.574564430266024</v>
      </c>
    </row>
    <row r="36" spans="2:7" x14ac:dyDescent="0.3">
      <c r="B36" t="s">
        <v>15</v>
      </c>
      <c r="C36" s="11">
        <v>0.6881303878977596</v>
      </c>
      <c r="D36" s="11">
        <v>0.11880667284008475</v>
      </c>
      <c r="E36" s="11">
        <v>0.10167993121610963</v>
      </c>
      <c r="F36" s="11">
        <v>0.25317748466260531</v>
      </c>
      <c r="G36" s="11">
        <v>0.3254647078055054</v>
      </c>
    </row>
    <row r="37" spans="2:7" x14ac:dyDescent="0.3">
      <c r="B37" t="s">
        <v>12</v>
      </c>
      <c r="C37" s="11">
        <v>0.51021557614289659</v>
      </c>
      <c r="D37" s="11">
        <v>0.54734820724950684</v>
      </c>
      <c r="E37" s="11">
        <v>0.4585136227233233</v>
      </c>
      <c r="F37" s="11">
        <v>0.43348271478750144</v>
      </c>
      <c r="G37" s="11">
        <v>0.55713143946873589</v>
      </c>
    </row>
    <row r="38" spans="2:7" x14ac:dyDescent="0.3">
      <c r="B38" t="s">
        <v>13</v>
      </c>
      <c r="C38" s="11">
        <v>0.43414196946565176</v>
      </c>
      <c r="D38" s="11">
        <v>0.36174691153036986</v>
      </c>
      <c r="E38" s="11">
        <v>0.48066999473321714</v>
      </c>
      <c r="F38" s="11">
        <v>0.46663836017727839</v>
      </c>
      <c r="G38" s="11">
        <v>0.60784406924429668</v>
      </c>
    </row>
    <row r="39" spans="2:7" x14ac:dyDescent="0.3">
      <c r="B39" t="s">
        <v>17</v>
      </c>
      <c r="C39" s="11">
        <v>0.43081670840538822</v>
      </c>
      <c r="D39" s="11">
        <v>0.50435063526970558</v>
      </c>
      <c r="E39" s="11">
        <v>0.36504870343278373</v>
      </c>
      <c r="F39" s="11">
        <v>0.32280533580972304</v>
      </c>
      <c r="G39" s="11">
        <v>0.53252495743855444</v>
      </c>
    </row>
  </sheetData>
  <mergeCells count="3">
    <mergeCell ref="C3:I3"/>
    <mergeCell ref="C16:I16"/>
    <mergeCell ref="C29:G29"/>
  </mergeCells>
  <conditionalFormatting sqref="C31:G39">
    <cfRule type="colorScale" priority="4">
      <colorScale>
        <cfvo type="min"/>
        <cfvo type="percentile" val="50"/>
        <cfvo type="max"/>
        <color rgb="FFEB2B0B"/>
        <color rgb="FFFFEB84"/>
        <color rgb="FF00BC55"/>
      </colorScale>
    </cfRule>
  </conditionalFormatting>
  <conditionalFormatting sqref="C5:I13">
    <cfRule type="colorScale" priority="28">
      <colorScale>
        <cfvo type="min"/>
        <cfvo type="percentile" val="50"/>
        <cfvo type="max"/>
        <color rgb="FFFF0000"/>
        <color rgb="FFFFEB84"/>
        <color rgb="FF00BC55"/>
      </colorScale>
    </cfRule>
  </conditionalFormatting>
  <conditionalFormatting sqref="C18:I26">
    <cfRule type="colorScale" priority="22">
      <colorScale>
        <cfvo type="min"/>
        <cfvo type="percentile" val="50"/>
        <cfvo type="max"/>
        <color rgb="FFFF0000"/>
        <color rgb="FFFFEB84"/>
        <color rgb="FF00BC55"/>
      </colorScale>
    </cfRule>
  </conditionalFormatting>
  <conditionalFormatting sqref="L5:R13">
    <cfRule type="colorScale" priority="16">
      <colorScale>
        <cfvo type="min"/>
        <cfvo type="percentile" val="50"/>
        <cfvo type="max"/>
        <color rgb="FF00BC55"/>
        <color rgb="FFFFEB84"/>
        <color rgb="FFEB2B0B"/>
      </colorScale>
    </cfRule>
  </conditionalFormatting>
  <conditionalFormatting sqref="L18:R26">
    <cfRule type="colorScale" priority="10">
      <colorScale>
        <cfvo type="min"/>
        <cfvo type="percentile" val="50"/>
        <cfvo type="max"/>
        <color rgb="FF00BC55"/>
        <color rgb="FFFFEB84"/>
        <color rgb="FFEB2B0B"/>
      </colorScale>
    </cfRule>
  </conditionalFormatting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Hyperparameters</vt:lpstr>
      <vt:lpstr>KMeans_testing_results</vt:lpstr>
      <vt:lpstr>hierarchical_testing_results</vt:lpstr>
      <vt:lpstr>KMeans_training_results</vt:lpstr>
      <vt:lpstr>hierarchical_training_results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Ewout Venstermans</dc:creator>
  <cp:lastModifiedBy>Ewout Venstermans</cp:lastModifiedBy>
  <dcterms:created xsi:type="dcterms:W3CDTF">2025-03-06T18:17:22Z</dcterms:created>
  <dcterms:modified xsi:type="dcterms:W3CDTF">2026-07-02T13:24:38Z</dcterms:modified>
</cp:coreProperties>
</file>